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2810a0d4408f349/Documenten/GitHub/OR5/"/>
    </mc:Choice>
  </mc:AlternateContent>
  <xr:revisionPtr revIDLastSave="311" documentId="11_AA522F578FF748524973C9320039661620A74D1C" xr6:coauthVersionLast="47" xr6:coauthVersionMax="47" xr10:uidLastSave="{B120E125-EBCF-4E0D-B3F3-24D7B0705CAF}"/>
  <bookViews>
    <workbookView xWindow="-110" yWindow="-110" windowWidth="25820" windowHeight="15500" activeTab="4" xr2:uid="{00000000-000D-0000-FFFF-FFFF00000000}"/>
  </bookViews>
  <sheets>
    <sheet name="Alle experimenten" sheetId="1" r:id="rId1"/>
    <sheet name="Samenvatting" sheetId="2" r:id="rId2"/>
    <sheet name="Grafiek" sheetId="4" r:id="rId3"/>
    <sheet name="Heatmap" sheetId="3" r:id="rId4"/>
    <sheet name="SA gemiddl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5" l="1" a="1"/>
  <c r="C12" i="5" s="1"/>
  <c r="D12" i="5" a="1"/>
  <c r="D12" i="5" s="1"/>
  <c r="E12" i="5" a="1"/>
  <c r="E12" i="5" s="1"/>
  <c r="F12" i="5" a="1"/>
  <c r="F12" i="5" s="1"/>
  <c r="G12" i="5" a="1"/>
  <c r="G12" i="5" s="1"/>
  <c r="B12" i="5" a="1"/>
  <c r="B12" i="5" s="1"/>
  <c r="J3" i="5" a="1"/>
  <c r="J3" i="5" s="1"/>
  <c r="J4" i="5" a="1"/>
  <c r="J4" i="5" s="1"/>
  <c r="J5" i="5" a="1"/>
  <c r="J5" i="5" s="1"/>
  <c r="J6" i="5" a="1"/>
  <c r="J6" i="5" s="1"/>
  <c r="J7" i="5" a="1"/>
  <c r="J7" i="5" s="1"/>
  <c r="J8" i="5" a="1"/>
  <c r="J8" i="5" s="1"/>
  <c r="B10" i="4"/>
  <c r="C2" i="5"/>
  <c r="D2" i="5"/>
  <c r="E2" i="5"/>
  <c r="F2" i="5"/>
  <c r="G2" i="5"/>
  <c r="C3" i="5"/>
  <c r="D3" i="5"/>
  <c r="E3" i="5"/>
  <c r="F3" i="5"/>
  <c r="G3" i="5"/>
  <c r="C4" i="5"/>
  <c r="D4" i="5"/>
  <c r="E4" i="5"/>
  <c r="F4" i="5"/>
  <c r="G4" i="5"/>
  <c r="C5" i="5"/>
  <c r="D5" i="5"/>
  <c r="E5" i="5"/>
  <c r="F5" i="5"/>
  <c r="G5" i="5"/>
  <c r="C6" i="5"/>
  <c r="D6" i="5"/>
  <c r="E6" i="5"/>
  <c r="F6" i="5"/>
  <c r="G6" i="5"/>
  <c r="C7" i="5"/>
  <c r="D7" i="5"/>
  <c r="E7" i="5"/>
  <c r="F7" i="5"/>
  <c r="G7" i="5"/>
  <c r="C8" i="5"/>
  <c r="D8" i="5"/>
  <c r="E8" i="5"/>
  <c r="F8" i="5"/>
  <c r="G8" i="5"/>
  <c r="B3" i="5"/>
  <c r="B4" i="5"/>
  <c r="B5" i="5"/>
  <c r="B6" i="5"/>
  <c r="B7" i="5"/>
  <c r="B8" i="5"/>
  <c r="B2" i="5"/>
  <c r="C10" i="4"/>
  <c r="D10" i="4"/>
  <c r="E10" i="4"/>
  <c r="F10" i="4"/>
  <c r="G10" i="4"/>
  <c r="I3" i="4"/>
  <c r="I4" i="4"/>
  <c r="I5" i="4"/>
  <c r="I6" i="4"/>
  <c r="I7" i="4"/>
  <c r="I8" i="4"/>
  <c r="I2" i="4"/>
  <c r="C2" i="4"/>
  <c r="D2" i="4"/>
  <c r="E2" i="4"/>
  <c r="F2" i="4"/>
  <c r="G2" i="4"/>
  <c r="C3" i="4"/>
  <c r="D3" i="4"/>
  <c r="E3" i="4"/>
  <c r="F3" i="4"/>
  <c r="G3" i="4"/>
  <c r="C4" i="4"/>
  <c r="D4" i="4"/>
  <c r="E4" i="4"/>
  <c r="F4" i="4"/>
  <c r="G4" i="4"/>
  <c r="C5" i="4"/>
  <c r="D5" i="4"/>
  <c r="E5" i="4"/>
  <c r="F5" i="4"/>
  <c r="G5" i="4"/>
  <c r="C6" i="4"/>
  <c r="D6" i="4"/>
  <c r="E6" i="4"/>
  <c r="F6" i="4"/>
  <c r="G6" i="4"/>
  <c r="C7" i="4"/>
  <c r="D7" i="4"/>
  <c r="E7" i="4"/>
  <c r="F7" i="4"/>
  <c r="G7" i="4"/>
  <c r="C8" i="4"/>
  <c r="D8" i="4"/>
  <c r="E8" i="4"/>
  <c r="F8" i="4"/>
  <c r="G8" i="4"/>
  <c r="B3" i="4"/>
  <c r="B4" i="4"/>
  <c r="B5" i="4"/>
  <c r="B6" i="4"/>
  <c r="B7" i="4"/>
  <c r="B8" i="4"/>
  <c r="B2" i="4"/>
  <c r="I5" i="5" l="1"/>
  <c r="G11" i="5"/>
  <c r="F11" i="5"/>
  <c r="E11" i="5"/>
  <c r="D11" i="5"/>
  <c r="B11" i="5"/>
  <c r="I3" i="5"/>
  <c r="I6" i="5"/>
  <c r="I8" i="5"/>
  <c r="I7" i="5"/>
  <c r="I4" i="5"/>
  <c r="C11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<sst xmlns="http://schemas.openxmlformats.org/spreadsheetml/2006/main" count="42" uniqueCount="32">
  <si>
    <t>t_max</t>
  </si>
  <si>
    <t>cooling_factor</t>
  </si>
  <si>
    <t>cooling_it</t>
  </si>
  <si>
    <t>temp</t>
  </si>
  <si>
    <t>Random seed</t>
  </si>
  <si>
    <t>Penalty SA</t>
  </si>
  <si>
    <t>Total penalty</t>
  </si>
  <si>
    <t>Total tardiness</t>
  </si>
  <si>
    <t>Rekentijd SA (s)</t>
  </si>
  <si>
    <t>Rekentijd Improving Search (s)</t>
  </si>
  <si>
    <t>Totale rekentijd (s)</t>
  </si>
  <si>
    <t>Gemiddelde_penalty</t>
  </si>
  <si>
    <t>Beste_penalty</t>
  </si>
  <si>
    <t>Standaarddeviatie</t>
  </si>
  <si>
    <t>Gemiddelde_rekentijd</t>
  </si>
  <si>
    <t>Aantal_runs</t>
  </si>
  <si>
    <t>Temp</t>
  </si>
  <si>
    <t>cooling_it = 100</t>
  </si>
  <si>
    <t>cooling_it = 700</t>
  </si>
  <si>
    <t>cooling_it = 1000</t>
  </si>
  <si>
    <t>cooling_it = 1400</t>
  </si>
  <si>
    <t>cooling_it = 7000</t>
  </si>
  <si>
    <t>cooling_it = 14000</t>
  </si>
  <si>
    <t>&lt;-mean</t>
  </si>
  <si>
    <t>^mean</t>
  </si>
  <si>
    <t>std</t>
  </si>
  <si>
    <t>^std</t>
  </si>
  <si>
    <t>2.1</t>
  </si>
  <si>
    <t>2.2</t>
  </si>
  <si>
    <t>2.3</t>
  </si>
  <si>
    <t>Experiment</t>
  </si>
  <si>
    <t>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</si>
</sst>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172" fontId="0" fillId="0" borderId="0" xfId="0" applyNumberFormat="1"/>
    <xf numFmtId="172" fontId="0" fillId="3" borderId="0" xfId="0" applyNumberFormat="1" applyFill="1"/>
    <xf numFmtId="0" fontId="0" fillId="4" borderId="0" xfId="0" applyFill="1"/>
    <xf numFmtId="172" fontId="0" fillId="4" borderId="0" xfId="0" applyNumberFormat="1" applyFill="1"/>
    <xf numFmtId="0" fontId="1" fillId="0" borderId="0" xfId="0" applyFont="1"/>
    <xf numFmtId="172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Invloed van begintemperatuur</a:t>
            </a:r>
            <a:r>
              <a:rPr lang="nl-NL" baseline="0"/>
              <a:t> en cooling-interval op de gemiddelde totale penalty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Grafiek!$B$1</c:f>
              <c:strCache>
                <c:ptCount val="1"/>
                <c:pt idx="0">
                  <c:v>cooling_it = 100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Grafiek!$A$2:$A$8</c:f>
              <c:numCache>
                <c:formatCode>General</c:formatCode>
                <c:ptCount val="7"/>
                <c:pt idx="0">
                  <c:v>50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  <c:pt idx="4">
                  <c:v>150</c:v>
                </c:pt>
                <c:pt idx="5">
                  <c:v>200</c:v>
                </c:pt>
                <c:pt idx="6">
                  <c:v>500</c:v>
                </c:pt>
              </c:numCache>
            </c:numRef>
          </c:cat>
          <c:val>
            <c:numRef>
              <c:f>Grafiek!$B$2:$B$8</c:f>
              <c:numCache>
                <c:formatCode>General</c:formatCode>
                <c:ptCount val="7"/>
                <c:pt idx="0">
                  <c:v>490.90555555555528</c:v>
                </c:pt>
                <c:pt idx="1">
                  <c:v>399.56111111111102</c:v>
                </c:pt>
                <c:pt idx="2">
                  <c:v>390.74999999999989</c:v>
                </c:pt>
                <c:pt idx="3">
                  <c:v>355.97222222222229</c:v>
                </c:pt>
                <c:pt idx="4">
                  <c:v>357.70555555555541</c:v>
                </c:pt>
                <c:pt idx="5">
                  <c:v>348.23888888888882</c:v>
                </c:pt>
                <c:pt idx="6">
                  <c:v>373.23333333333329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9A-4124-9894-1FADB1AB2C04}"/>
            </c:ext>
          </c:extLst>
        </c:ser>
        <c:ser>
          <c:idx val="2"/>
          <c:order val="1"/>
          <c:tx>
            <c:strRef>
              <c:f>Grafiek!$C$1</c:f>
              <c:strCache>
                <c:ptCount val="1"/>
                <c:pt idx="0">
                  <c:v>cooling_it = 700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Grafiek!$A$2:$A$8</c:f>
              <c:numCache>
                <c:formatCode>General</c:formatCode>
                <c:ptCount val="7"/>
                <c:pt idx="0">
                  <c:v>50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  <c:pt idx="4">
                  <c:v>150</c:v>
                </c:pt>
                <c:pt idx="5">
                  <c:v>200</c:v>
                </c:pt>
                <c:pt idx="6">
                  <c:v>500</c:v>
                </c:pt>
              </c:numCache>
            </c:numRef>
          </c:cat>
          <c:val>
            <c:numRef>
              <c:f>Grafiek!$C$2:$C$8</c:f>
              <c:numCache>
                <c:formatCode>General</c:formatCode>
                <c:ptCount val="7"/>
                <c:pt idx="0">
                  <c:v>629.69444444444434</c:v>
                </c:pt>
                <c:pt idx="1">
                  <c:v>406.81111111111107</c:v>
                </c:pt>
                <c:pt idx="2">
                  <c:v>384.83888888888879</c:v>
                </c:pt>
                <c:pt idx="3">
                  <c:v>334.37222222222209</c:v>
                </c:pt>
                <c:pt idx="4">
                  <c:v>352.43333333333328</c:v>
                </c:pt>
                <c:pt idx="5">
                  <c:v>251.87777777777771</c:v>
                </c:pt>
                <c:pt idx="6">
                  <c:v>315.5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9A-4124-9894-1FADB1AB2C04}"/>
            </c:ext>
          </c:extLst>
        </c:ser>
        <c:ser>
          <c:idx val="3"/>
          <c:order val="2"/>
          <c:tx>
            <c:strRef>
              <c:f>Grafiek!$D$1</c:f>
              <c:strCache>
                <c:ptCount val="1"/>
                <c:pt idx="0">
                  <c:v>cooling_it = 1000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Grafiek!$A$2:$A$8</c:f>
              <c:numCache>
                <c:formatCode>General</c:formatCode>
                <c:ptCount val="7"/>
                <c:pt idx="0">
                  <c:v>50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  <c:pt idx="4">
                  <c:v>150</c:v>
                </c:pt>
                <c:pt idx="5">
                  <c:v>200</c:v>
                </c:pt>
                <c:pt idx="6">
                  <c:v>500</c:v>
                </c:pt>
              </c:numCache>
            </c:numRef>
          </c:cat>
          <c:val>
            <c:numRef>
              <c:f>Grafiek!$D$2:$D$8</c:f>
              <c:numCache>
                <c:formatCode>General</c:formatCode>
                <c:ptCount val="7"/>
                <c:pt idx="0">
                  <c:v>635.65555555555534</c:v>
                </c:pt>
                <c:pt idx="1">
                  <c:v>340.83333333333331</c:v>
                </c:pt>
                <c:pt idx="2">
                  <c:v>381.50000000000011</c:v>
                </c:pt>
                <c:pt idx="3">
                  <c:v>380.33888888888879</c:v>
                </c:pt>
                <c:pt idx="4">
                  <c:v>371.71111111111111</c:v>
                </c:pt>
                <c:pt idx="5">
                  <c:v>329.47222222222217</c:v>
                </c:pt>
                <c:pt idx="6">
                  <c:v>332.17222222222222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9A-4124-9894-1FADB1AB2C04}"/>
            </c:ext>
          </c:extLst>
        </c:ser>
        <c:ser>
          <c:idx val="4"/>
          <c:order val="3"/>
          <c:tx>
            <c:strRef>
              <c:f>Grafiek!$E$1</c:f>
              <c:strCache>
                <c:ptCount val="1"/>
                <c:pt idx="0">
                  <c:v>cooling_it = 1400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Grafiek!$A$2:$A$8</c:f>
              <c:numCache>
                <c:formatCode>General</c:formatCode>
                <c:ptCount val="7"/>
                <c:pt idx="0">
                  <c:v>50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  <c:pt idx="4">
                  <c:v>150</c:v>
                </c:pt>
                <c:pt idx="5">
                  <c:v>200</c:v>
                </c:pt>
                <c:pt idx="6">
                  <c:v>500</c:v>
                </c:pt>
              </c:numCache>
            </c:numRef>
          </c:cat>
          <c:val>
            <c:numRef>
              <c:f>Grafiek!$E$2:$E$8</c:f>
              <c:numCache>
                <c:formatCode>General</c:formatCode>
                <c:ptCount val="7"/>
                <c:pt idx="0">
                  <c:v>479.70555555555552</c:v>
                </c:pt>
                <c:pt idx="1">
                  <c:v>367.27222222222213</c:v>
                </c:pt>
                <c:pt idx="2">
                  <c:v>343.95555555555552</c:v>
                </c:pt>
                <c:pt idx="3">
                  <c:v>284.52222222222218</c:v>
                </c:pt>
                <c:pt idx="4">
                  <c:v>445.72222222222211</c:v>
                </c:pt>
                <c:pt idx="5">
                  <c:v>392.06666666666649</c:v>
                </c:pt>
                <c:pt idx="6">
                  <c:v>283.46111111111111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9A-4124-9894-1FADB1AB2C04}"/>
            </c:ext>
          </c:extLst>
        </c:ser>
        <c:ser>
          <c:idx val="5"/>
          <c:order val="4"/>
          <c:tx>
            <c:strRef>
              <c:f>Grafiek!$F$1</c:f>
              <c:strCache>
                <c:ptCount val="1"/>
                <c:pt idx="0">
                  <c:v>cooling_it = 7000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Grafiek!$A$2:$A$8</c:f>
              <c:numCache>
                <c:formatCode>General</c:formatCode>
                <c:ptCount val="7"/>
                <c:pt idx="0">
                  <c:v>50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  <c:pt idx="4">
                  <c:v>150</c:v>
                </c:pt>
                <c:pt idx="5">
                  <c:v>200</c:v>
                </c:pt>
                <c:pt idx="6">
                  <c:v>500</c:v>
                </c:pt>
              </c:numCache>
            </c:numRef>
          </c:cat>
          <c:val>
            <c:numRef>
              <c:f>Grafiek!$F$2:$F$8</c:f>
              <c:numCache>
                <c:formatCode>General</c:formatCode>
                <c:ptCount val="7"/>
                <c:pt idx="0">
                  <c:v>553.83888888888885</c:v>
                </c:pt>
                <c:pt idx="1">
                  <c:v>365.27222222222218</c:v>
                </c:pt>
                <c:pt idx="2">
                  <c:v>374.60555555555561</c:v>
                </c:pt>
                <c:pt idx="3">
                  <c:v>362.21111111111111</c:v>
                </c:pt>
                <c:pt idx="4">
                  <c:v>299.02222222222218</c:v>
                </c:pt>
                <c:pt idx="5">
                  <c:v>310.63333333333333</c:v>
                </c:pt>
                <c:pt idx="6">
                  <c:v>350.83333333333331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09A-4124-9894-1FADB1AB2C04}"/>
            </c:ext>
          </c:extLst>
        </c:ser>
        <c:ser>
          <c:idx val="6"/>
          <c:order val="5"/>
          <c:tx>
            <c:strRef>
              <c:f>Grafiek!$G$1</c:f>
              <c:strCache>
                <c:ptCount val="1"/>
                <c:pt idx="0">
                  <c:v>cooling_it = 14000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Grafiek!$A$2:$A$8</c:f>
              <c:numCache>
                <c:formatCode>General</c:formatCode>
                <c:ptCount val="7"/>
                <c:pt idx="0">
                  <c:v>50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  <c:pt idx="4">
                  <c:v>150</c:v>
                </c:pt>
                <c:pt idx="5">
                  <c:v>200</c:v>
                </c:pt>
                <c:pt idx="6">
                  <c:v>500</c:v>
                </c:pt>
              </c:numCache>
            </c:numRef>
          </c:cat>
          <c:val>
            <c:numRef>
              <c:f>Grafiek!$G$2:$G$8</c:f>
              <c:numCache>
                <c:formatCode>General</c:formatCode>
                <c:ptCount val="7"/>
                <c:pt idx="0">
                  <c:v>361.72222222222217</c:v>
                </c:pt>
                <c:pt idx="1">
                  <c:v>340.91111111111121</c:v>
                </c:pt>
                <c:pt idx="2">
                  <c:v>313.8555555555555</c:v>
                </c:pt>
                <c:pt idx="3">
                  <c:v>305.91666666666669</c:v>
                </c:pt>
                <c:pt idx="4">
                  <c:v>353.51111111111112</c:v>
                </c:pt>
                <c:pt idx="5">
                  <c:v>350.01666666666671</c:v>
                </c:pt>
                <c:pt idx="6">
                  <c:v>430.31111111111107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09A-4124-9894-1FADB1AB2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5656944"/>
        <c:axId val="616088432"/>
      </c:barChart>
      <c:catAx>
        <c:axId val="615656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100"/>
                  <a:t>Begintemperatuur</a:t>
                </a:r>
                <a:r>
                  <a:rPr lang="nl-NL" sz="1100" baseline="0"/>
                  <a:t> (temp)</a:t>
                </a:r>
                <a:endParaRPr lang="nl-NL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616088432"/>
        <c:crosses val="autoZero"/>
        <c:auto val="1"/>
        <c:lblAlgn val="ctr"/>
        <c:lblOffset val="100"/>
        <c:noMultiLvlLbl val="0"/>
      </c:catAx>
      <c:valAx>
        <c:axId val="61608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100"/>
                  <a:t>Gemiddelde totale</a:t>
                </a:r>
                <a:r>
                  <a:rPr lang="nl-NL" sz="1100" baseline="0"/>
                  <a:t> penalty</a:t>
                </a:r>
                <a:endParaRPr lang="nl-NL" sz="1100"/>
              </a:p>
            </c:rich>
          </c:tx>
          <c:layout>
            <c:manualLayout>
              <c:xMode val="edge"/>
              <c:yMode val="edge"/>
              <c:x val="1.5018773466833541E-2"/>
              <c:y val="0.279492118196848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61565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Invloed</a:t>
            </a:r>
            <a:r>
              <a:rPr lang="nl-NL" baseline="0"/>
              <a:t> van de begintemperatuur en cooling-interval op de gemiddelde penalty na SA</a:t>
            </a:r>
            <a:endParaRPr lang="nl-NL"/>
          </a:p>
        </c:rich>
      </c:tx>
      <c:layout>
        <c:manualLayout>
          <c:xMode val="edge"/>
          <c:yMode val="edge"/>
          <c:x val="0.18097951577173896"/>
          <c:y val="7.369837698859074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 gemiddle'!$B$1</c:f>
              <c:strCache>
                <c:ptCount val="1"/>
                <c:pt idx="0">
                  <c:v>cooling_it = 100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'SA gemiddle'!$A$2:$A$8</c15:sqref>
                  </c15:fullRef>
                </c:ext>
              </c:extLst>
              <c:f>'SA gemiddle'!$A$3:$A$8</c:f>
              <c:numCache>
                <c:formatCode>General</c:formatCode>
                <c:ptCount val="6"/>
                <c:pt idx="0">
                  <c:v>80</c:v>
                </c:pt>
                <c:pt idx="1">
                  <c:v>100</c:v>
                </c:pt>
                <c:pt idx="2">
                  <c:v>120</c:v>
                </c:pt>
                <c:pt idx="3">
                  <c:v>150</c:v>
                </c:pt>
                <c:pt idx="4">
                  <c:v>200</c:v>
                </c:pt>
                <c:pt idx="5">
                  <c:v>500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 gemiddle'!$B$2:$B$8</c15:sqref>
                  </c15:fullRef>
                </c:ext>
              </c:extLst>
              <c:f>'SA gemiddle'!$B$3:$B$8</c:f>
              <c:numCache>
                <c:formatCode>General</c:formatCode>
                <c:ptCount val="6"/>
                <c:pt idx="0">
                  <c:v>425.76111111111095</c:v>
                </c:pt>
                <c:pt idx="1">
                  <c:v>390.74999999999989</c:v>
                </c:pt>
                <c:pt idx="2">
                  <c:v>355.97222222222223</c:v>
                </c:pt>
                <c:pt idx="3">
                  <c:v>364.37222222222204</c:v>
                </c:pt>
                <c:pt idx="4">
                  <c:v>359.87222222222215</c:v>
                </c:pt>
                <c:pt idx="5">
                  <c:v>384.7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8C-4D3A-B1E8-F72BF692DF92}"/>
            </c:ext>
          </c:extLst>
        </c:ser>
        <c:ser>
          <c:idx val="1"/>
          <c:order val="1"/>
          <c:tx>
            <c:strRef>
              <c:f>'SA gemiddle'!$C$1</c:f>
              <c:strCache>
                <c:ptCount val="1"/>
                <c:pt idx="0">
                  <c:v>cooling_it = 700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'SA gemiddle'!$A$2:$A$8</c15:sqref>
                  </c15:fullRef>
                </c:ext>
              </c:extLst>
              <c:f>'SA gemiddle'!$A$3:$A$8</c:f>
              <c:numCache>
                <c:formatCode>General</c:formatCode>
                <c:ptCount val="6"/>
                <c:pt idx="0">
                  <c:v>80</c:v>
                </c:pt>
                <c:pt idx="1">
                  <c:v>100</c:v>
                </c:pt>
                <c:pt idx="2">
                  <c:v>120</c:v>
                </c:pt>
                <c:pt idx="3">
                  <c:v>150</c:v>
                </c:pt>
                <c:pt idx="4">
                  <c:v>200</c:v>
                </c:pt>
                <c:pt idx="5">
                  <c:v>500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 gemiddle'!$C$2:$C$8</c15:sqref>
                  </c15:fullRef>
                </c:ext>
              </c:extLst>
              <c:f>'SA gemiddle'!$C$3:$C$8</c:f>
              <c:numCache>
                <c:formatCode>General</c:formatCode>
                <c:ptCount val="6"/>
                <c:pt idx="0">
                  <c:v>412.57777777777773</c:v>
                </c:pt>
                <c:pt idx="1">
                  <c:v>388.67222222222216</c:v>
                </c:pt>
                <c:pt idx="2">
                  <c:v>334.37222222222215</c:v>
                </c:pt>
                <c:pt idx="3">
                  <c:v>384.11666666666667</c:v>
                </c:pt>
                <c:pt idx="4">
                  <c:v>252.81111111111105</c:v>
                </c:pt>
                <c:pt idx="5">
                  <c:v>315.5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8C-4D3A-B1E8-F72BF692DF92}"/>
            </c:ext>
          </c:extLst>
        </c:ser>
        <c:ser>
          <c:idx val="2"/>
          <c:order val="2"/>
          <c:tx>
            <c:strRef>
              <c:f>'SA gemiddle'!$D$1</c:f>
              <c:strCache>
                <c:ptCount val="1"/>
                <c:pt idx="0">
                  <c:v>cooling_it = 1000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'SA gemiddle'!$A$2:$A$8</c15:sqref>
                  </c15:fullRef>
                </c:ext>
              </c:extLst>
              <c:f>'SA gemiddle'!$A$3:$A$8</c:f>
              <c:numCache>
                <c:formatCode>General</c:formatCode>
                <c:ptCount val="6"/>
                <c:pt idx="0">
                  <c:v>80</c:v>
                </c:pt>
                <c:pt idx="1">
                  <c:v>100</c:v>
                </c:pt>
                <c:pt idx="2">
                  <c:v>120</c:v>
                </c:pt>
                <c:pt idx="3">
                  <c:v>150</c:v>
                </c:pt>
                <c:pt idx="4">
                  <c:v>200</c:v>
                </c:pt>
                <c:pt idx="5">
                  <c:v>500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 gemiddle'!$D$2:$D$8</c15:sqref>
                  </c15:fullRef>
                </c:ext>
              </c:extLst>
              <c:f>'SA gemiddle'!$D$3:$D$8</c:f>
              <c:numCache>
                <c:formatCode>General</c:formatCode>
                <c:ptCount val="6"/>
                <c:pt idx="0">
                  <c:v>340.83333333333337</c:v>
                </c:pt>
                <c:pt idx="1">
                  <c:v>383.4</c:v>
                </c:pt>
                <c:pt idx="2">
                  <c:v>380.50555555555547</c:v>
                </c:pt>
                <c:pt idx="3">
                  <c:v>371.71111111111105</c:v>
                </c:pt>
                <c:pt idx="4">
                  <c:v>334.13888888888891</c:v>
                </c:pt>
                <c:pt idx="5">
                  <c:v>332.1722222222221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8C-4D3A-B1E8-F72BF692DF92}"/>
            </c:ext>
          </c:extLst>
        </c:ser>
        <c:ser>
          <c:idx val="3"/>
          <c:order val="3"/>
          <c:tx>
            <c:strRef>
              <c:f>'SA gemiddle'!$E$1</c:f>
              <c:strCache>
                <c:ptCount val="1"/>
                <c:pt idx="0">
                  <c:v>cooling_it = 1400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'SA gemiddle'!$A$2:$A$8</c15:sqref>
                  </c15:fullRef>
                </c:ext>
              </c:extLst>
              <c:f>'SA gemiddle'!$A$3:$A$8</c:f>
              <c:numCache>
                <c:formatCode>General</c:formatCode>
                <c:ptCount val="6"/>
                <c:pt idx="0">
                  <c:v>80</c:v>
                </c:pt>
                <c:pt idx="1">
                  <c:v>100</c:v>
                </c:pt>
                <c:pt idx="2">
                  <c:v>120</c:v>
                </c:pt>
                <c:pt idx="3">
                  <c:v>150</c:v>
                </c:pt>
                <c:pt idx="4">
                  <c:v>200</c:v>
                </c:pt>
                <c:pt idx="5">
                  <c:v>500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 gemiddle'!$E$2:$E$8</c15:sqref>
                  </c15:fullRef>
                </c:ext>
              </c:extLst>
              <c:f>'SA gemiddle'!$E$3:$E$8</c:f>
              <c:numCache>
                <c:formatCode>General</c:formatCode>
                <c:ptCount val="6"/>
                <c:pt idx="0">
                  <c:v>367.27222222222213</c:v>
                </c:pt>
                <c:pt idx="1">
                  <c:v>343.95555555555552</c:v>
                </c:pt>
                <c:pt idx="2">
                  <c:v>341.56666666666666</c:v>
                </c:pt>
                <c:pt idx="3">
                  <c:v>449.72222222222217</c:v>
                </c:pt>
                <c:pt idx="4">
                  <c:v>392.06666666666655</c:v>
                </c:pt>
                <c:pt idx="5">
                  <c:v>285.12777777777774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8C-4D3A-B1E8-F72BF692DF92}"/>
            </c:ext>
          </c:extLst>
        </c:ser>
        <c:ser>
          <c:idx val="4"/>
          <c:order val="4"/>
          <c:tx>
            <c:strRef>
              <c:f>'SA gemiddle'!$F$1</c:f>
              <c:strCache>
                <c:ptCount val="1"/>
                <c:pt idx="0">
                  <c:v>cooling_it = 7000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'SA gemiddle'!$A$2:$A$8</c15:sqref>
                  </c15:fullRef>
                </c:ext>
              </c:extLst>
              <c:f>'SA gemiddle'!$A$3:$A$8</c:f>
              <c:numCache>
                <c:formatCode>General</c:formatCode>
                <c:ptCount val="6"/>
                <c:pt idx="0">
                  <c:v>80</c:v>
                </c:pt>
                <c:pt idx="1">
                  <c:v>100</c:v>
                </c:pt>
                <c:pt idx="2">
                  <c:v>120</c:v>
                </c:pt>
                <c:pt idx="3">
                  <c:v>150</c:v>
                </c:pt>
                <c:pt idx="4">
                  <c:v>200</c:v>
                </c:pt>
                <c:pt idx="5">
                  <c:v>500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 gemiddle'!$F$2:$F$8</c15:sqref>
                  </c15:fullRef>
                </c:ext>
              </c:extLst>
              <c:f>'SA gemiddle'!$F$3:$F$8</c:f>
              <c:numCache>
                <c:formatCode>General</c:formatCode>
                <c:ptCount val="6"/>
                <c:pt idx="0">
                  <c:v>367.6722222222221</c:v>
                </c:pt>
                <c:pt idx="1">
                  <c:v>374.60555555555555</c:v>
                </c:pt>
                <c:pt idx="2">
                  <c:v>366.1444444444445</c:v>
                </c:pt>
                <c:pt idx="3">
                  <c:v>299.24444444444447</c:v>
                </c:pt>
                <c:pt idx="4">
                  <c:v>333.29999999999995</c:v>
                </c:pt>
                <c:pt idx="5">
                  <c:v>358.63333333333327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8C-4D3A-B1E8-F72BF692DF92}"/>
            </c:ext>
          </c:extLst>
        </c:ser>
        <c:ser>
          <c:idx val="5"/>
          <c:order val="5"/>
          <c:tx>
            <c:strRef>
              <c:f>'SA gemiddle'!$G$1</c:f>
              <c:strCache>
                <c:ptCount val="1"/>
                <c:pt idx="0">
                  <c:v>cooling_it = 14000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'SA gemiddle'!$A$2:$A$8</c15:sqref>
                  </c15:fullRef>
                </c:ext>
              </c:extLst>
              <c:f>'SA gemiddle'!$A$3:$A$8</c:f>
              <c:numCache>
                <c:formatCode>General</c:formatCode>
                <c:ptCount val="6"/>
                <c:pt idx="0">
                  <c:v>80</c:v>
                </c:pt>
                <c:pt idx="1">
                  <c:v>100</c:v>
                </c:pt>
                <c:pt idx="2">
                  <c:v>120</c:v>
                </c:pt>
                <c:pt idx="3">
                  <c:v>150</c:v>
                </c:pt>
                <c:pt idx="4">
                  <c:v>200</c:v>
                </c:pt>
                <c:pt idx="5">
                  <c:v>500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 gemiddle'!$G$2:$G$8</c15:sqref>
                  </c15:fullRef>
                </c:ext>
              </c:extLst>
              <c:f>'SA gemiddle'!$G$3:$G$8</c:f>
              <c:numCache>
                <c:formatCode>General</c:formatCode>
                <c:ptCount val="6"/>
                <c:pt idx="0">
                  <c:v>340.91111111111115</c:v>
                </c:pt>
                <c:pt idx="1">
                  <c:v>314.52222222222213</c:v>
                </c:pt>
                <c:pt idx="2">
                  <c:v>310.35000000000002</c:v>
                </c:pt>
                <c:pt idx="3">
                  <c:v>353.84444444444443</c:v>
                </c:pt>
                <c:pt idx="4">
                  <c:v>350.01666666666671</c:v>
                </c:pt>
                <c:pt idx="5">
                  <c:v>433.67777777777781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48C-4D3A-B1E8-F72BF692D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630399"/>
        <c:axId val="105629439"/>
      </c:barChart>
      <c:catAx>
        <c:axId val="1056303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Begintemperatuur (temp)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5629439"/>
        <c:crosses val="autoZero"/>
        <c:auto val="1"/>
        <c:lblAlgn val="ctr"/>
        <c:lblOffset val="100"/>
        <c:noMultiLvlLbl val="0"/>
      </c:catAx>
      <c:valAx>
        <c:axId val="10562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Gemiddelde totale penalty na SA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5630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Gemiddelde</a:t>
            </a:r>
            <a:r>
              <a:rPr lang="nl-NL" baseline="0"/>
              <a:t> totale penalty per temperatuur 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BCC5162-3852-43A0-85C3-E775A0BF5F31}" type="CELLRANGE">
                      <a:rPr lang="en-US"/>
                      <a:pPr/>
                      <a:t>[CELLRANGE]</a:t>
                    </a:fld>
                    <a:endParaRPr lang="nl-N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E49-43D7-BE6E-B83F6DC7446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8DE6D2C-091A-4BB8-BAD8-D8CA0B5EB974}" type="CELLRANGE">
                      <a:rPr lang="en-US"/>
                      <a:pPr/>
                      <a:t>[CELLRANGE]</a:t>
                    </a:fld>
                    <a:endParaRPr lang="nl-N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E49-43D7-BE6E-B83F6DC7446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FA32533-870A-4308-90AB-A32E9C920ACE}" type="CELLRANGE">
                      <a:rPr lang="en-US"/>
                      <a:pPr/>
                      <a:t>[CELLRANGE]</a:t>
                    </a:fld>
                    <a:endParaRPr lang="nl-N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E49-43D7-BE6E-B83F6DC7446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731F93B-A81C-40EC-AFF7-47F235515776}" type="CELLRANGE">
                      <a:rPr lang="en-US"/>
                      <a:pPr/>
                      <a:t>[CELLRANGE]</a:t>
                    </a:fld>
                    <a:endParaRPr lang="nl-N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E49-43D7-BE6E-B83F6DC7446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CEDBAFB-3E2F-4938-9C1D-686BECD8A9B8}" type="CELLRANGE">
                      <a:rPr lang="en-US"/>
                      <a:pPr/>
                      <a:t>[CELLRANGE]</a:t>
                    </a:fld>
                    <a:endParaRPr lang="nl-N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E49-43D7-BE6E-B83F6DC7446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DAC963D-E858-4365-93BC-F754335B77B2}" type="CELLRANGE">
                      <a:rPr lang="en-US"/>
                      <a:pPr/>
                      <a:t>[CELLRANGE]</a:t>
                    </a:fld>
                    <a:endParaRPr lang="nl-N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E49-43D7-BE6E-B83F6DC744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N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'SA gemiddle'!$A$3:$A$8</c:f>
              <c:numCache>
                <c:formatCode>General</c:formatCode>
                <c:ptCount val="6"/>
                <c:pt idx="0">
                  <c:v>80</c:v>
                </c:pt>
                <c:pt idx="1">
                  <c:v>100</c:v>
                </c:pt>
                <c:pt idx="2">
                  <c:v>120</c:v>
                </c:pt>
                <c:pt idx="3">
                  <c:v>150</c:v>
                </c:pt>
                <c:pt idx="4">
                  <c:v>200</c:v>
                </c:pt>
                <c:pt idx="5">
                  <c:v>500</c:v>
                </c:pt>
              </c:numCache>
            </c:numRef>
          </c:cat>
          <c:val>
            <c:numRef>
              <c:f>'SA gemiddle'!$I$3:$I$8</c:f>
              <c:numCache>
                <c:formatCode>General</c:formatCode>
                <c:ptCount val="6"/>
                <c:pt idx="0">
                  <c:v>365.8533333333333</c:v>
                </c:pt>
                <c:pt idx="1">
                  <c:v>361.03111111111104</c:v>
                </c:pt>
                <c:pt idx="2">
                  <c:v>355.64722222222224</c:v>
                </c:pt>
                <c:pt idx="3">
                  <c:v>376.19861111111112</c:v>
                </c:pt>
                <c:pt idx="4">
                  <c:v>328.07916666666659</c:v>
                </c:pt>
                <c:pt idx="5">
                  <c:v>322.85833333333329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'SA gemiddle'!$J$3:$J$8</c15:f>
                <c15:dlblRangeCache>
                  <c:ptCount val="6"/>
                  <c:pt idx="0">
                    <c:v>101,3</c:v>
                  </c:pt>
                  <c:pt idx="1">
                    <c:v>116,7</c:v>
                  </c:pt>
                  <c:pt idx="2">
                    <c:v>73,8</c:v>
                  </c:pt>
                  <c:pt idx="3">
                    <c:v>101,0</c:v>
                  </c:pt>
                  <c:pt idx="4">
                    <c:v>106,7</c:v>
                  </c:pt>
                  <c:pt idx="5">
                    <c:v>105,5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EE49-43D7-BE6E-B83F6DC74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7301903"/>
        <c:axId val="1537302383"/>
      </c:barChart>
      <c:catAx>
        <c:axId val="15373019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Temperatuur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37302383"/>
        <c:crosses val="autoZero"/>
        <c:auto val="1"/>
        <c:lblAlgn val="ctr"/>
        <c:lblOffset val="100"/>
        <c:noMultiLvlLbl val="0"/>
      </c:catAx>
      <c:valAx>
        <c:axId val="153730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Gemidddlede</a:t>
                </a:r>
                <a:r>
                  <a:rPr lang="nl-NL" baseline="0"/>
                  <a:t> t</a:t>
                </a:r>
                <a:r>
                  <a:rPr lang="nl-NL"/>
                  <a:t>otale</a:t>
                </a:r>
                <a:r>
                  <a:rPr lang="nl-NL" baseline="0"/>
                  <a:t> penalty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37301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Gemiddelde totale penalty per cooling</a:t>
            </a:r>
            <a:r>
              <a:rPr lang="nl-NL" baseline="0"/>
              <a:t> iteraties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6022F07E-51A1-40D9-A96A-B0B2CB8CFBF4}" type="CELLRANGE">
                      <a:rPr lang="en-US"/>
                      <a:pPr/>
                      <a:t>[CELLRANGE]</a:t>
                    </a:fld>
                    <a:endParaRPr lang="nl-N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EF3-4871-AFD9-4018A3B16FF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4F071F1-A7A3-4C74-B8EE-D3CD107BFDA5}" type="CELLRANGE">
                      <a:rPr lang="en-US"/>
                      <a:pPr/>
                      <a:t>[CELLRANGE]</a:t>
                    </a:fld>
                    <a:endParaRPr lang="nl-N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EF3-4871-AFD9-4018A3B16FF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90EF595-96F2-4F32-BB1B-9BFD6139945E}" type="CELLRANGE">
                      <a:rPr lang="en-US"/>
                      <a:pPr/>
                      <a:t>[CELLRANGE]</a:t>
                    </a:fld>
                    <a:endParaRPr lang="nl-N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EF3-4871-AFD9-4018A3B16FF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28298F3-68BF-44E7-810F-B7D582232351}" type="CELLRANGE">
                      <a:rPr lang="en-US"/>
                      <a:pPr/>
                      <a:t>[CELLRANGE]</a:t>
                    </a:fld>
                    <a:endParaRPr lang="nl-N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EF3-4871-AFD9-4018A3B16FF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6741391-6853-480F-B1ED-8A4D0F1AF7E5}" type="CELLRANGE">
                      <a:rPr lang="en-US"/>
                      <a:pPr/>
                      <a:t>[CELLRANGE]</a:t>
                    </a:fld>
                    <a:endParaRPr lang="nl-N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EF3-4871-AFD9-4018A3B16FF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C75F835-DBF1-486B-A32C-2D6A581F915B}" type="CELLRANGE">
                      <a:rPr lang="en-US"/>
                      <a:pPr/>
                      <a:t>[CELLRANGE]</a:t>
                    </a:fld>
                    <a:endParaRPr lang="nl-N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EF3-4871-AFD9-4018A3B16F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N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 gemiddle'!$B$1:$G$1</c:f>
              <c:strCache>
                <c:ptCount val="6"/>
                <c:pt idx="0">
                  <c:v>cooling_it = 100</c:v>
                </c:pt>
                <c:pt idx="1">
                  <c:v>cooling_it = 700</c:v>
                </c:pt>
                <c:pt idx="2">
                  <c:v>cooling_it = 1000</c:v>
                </c:pt>
                <c:pt idx="3">
                  <c:v>cooling_it = 1400</c:v>
                </c:pt>
                <c:pt idx="4">
                  <c:v>cooling_it = 7000</c:v>
                </c:pt>
                <c:pt idx="5">
                  <c:v>cooling_it = 14000</c:v>
                </c:pt>
              </c:strCache>
            </c:strRef>
          </c:cat>
          <c:val>
            <c:numRef>
              <c:f>'SA gemiddle'!$B$11:$G$11</c:f>
              <c:numCache>
                <c:formatCode>General</c:formatCode>
                <c:ptCount val="6"/>
                <c:pt idx="0">
                  <c:v>366.22916666666657</c:v>
                </c:pt>
                <c:pt idx="1">
                  <c:v>321.69999999999993</c:v>
                </c:pt>
                <c:pt idx="2">
                  <c:v>354.63194444444434</c:v>
                </c:pt>
                <c:pt idx="3">
                  <c:v>367.12083333333328</c:v>
                </c:pt>
                <c:pt idx="4">
                  <c:v>339.33055555555552</c:v>
                </c:pt>
                <c:pt idx="5">
                  <c:v>361.97222222222229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'SA gemiddle'!$B$12:$G$12</c15:f>
                <c15:dlblRangeCache>
                  <c:ptCount val="6"/>
                  <c:pt idx="0">
                    <c:v>79,4</c:v>
                  </c:pt>
                  <c:pt idx="1">
                    <c:v>110,3</c:v>
                  </c:pt>
                  <c:pt idx="2">
                    <c:v>51,6</c:v>
                  </c:pt>
                  <c:pt idx="3">
                    <c:v>122,0</c:v>
                  </c:pt>
                  <c:pt idx="4">
                    <c:v>70,7</c:v>
                  </c:pt>
                  <c:pt idx="5">
                    <c:v>128,1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EF3-4871-AFD9-4018A3B16F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07552911"/>
        <c:axId val="1107556751"/>
      </c:barChart>
      <c:catAx>
        <c:axId val="11075529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Cooling iteraties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07556751"/>
        <c:crosses val="autoZero"/>
        <c:auto val="1"/>
        <c:lblAlgn val="ctr"/>
        <c:lblOffset val="100"/>
        <c:noMultiLvlLbl val="0"/>
      </c:catAx>
      <c:valAx>
        <c:axId val="110755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Gemiddelde totale penalty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07552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Gemiddelde</a:t>
            </a:r>
            <a:r>
              <a:rPr lang="nl-NL" baseline="0"/>
              <a:t> totale penalty per temperatuur 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71A77C1C-74F4-4936-BB2E-E8F3DB86B8AD}" type="CELLRANGE">
                      <a:rPr lang="en-US"/>
                      <a:pPr/>
                      <a:t>[CELLRANGE]</a:t>
                    </a:fld>
                    <a:endParaRPr lang="nl-N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5395-45D0-8F40-A094916972B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A07658B-97E5-433A-B0DA-DAAFAF06B382}" type="CELLRANGE">
                      <a:rPr lang="nl-NL"/>
                      <a:pPr/>
                      <a:t>[CELLRANGE]</a:t>
                    </a:fld>
                    <a:endParaRPr lang="nl-N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5395-45D0-8F40-A094916972B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22CAD7B-9F56-41FE-A08A-87E04CCE879B}" type="CELLRANGE">
                      <a:rPr lang="nl-NL"/>
                      <a:pPr/>
                      <a:t>[CELLRANGE]</a:t>
                    </a:fld>
                    <a:endParaRPr lang="nl-N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395-45D0-8F40-A094916972B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5FF0565-71CC-467F-AC04-ED083A85F08F}" type="CELLRANGE">
                      <a:rPr lang="nl-NL"/>
                      <a:pPr/>
                      <a:t>[CELLRANGE]</a:t>
                    </a:fld>
                    <a:endParaRPr lang="nl-N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395-45D0-8F40-A094916972B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774932A-0199-48AD-9E5A-F1BB343D1A98}" type="CELLRANGE">
                      <a:rPr lang="nl-NL"/>
                      <a:pPr/>
                      <a:t>[CELLRANGE]</a:t>
                    </a:fld>
                    <a:endParaRPr lang="nl-N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395-45D0-8F40-A094916972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N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'SA gemiddle'!$A$5:$A$9</c:f>
              <c:numCache>
                <c:formatCode>General</c:formatCode>
                <c:ptCount val="5"/>
                <c:pt idx="0">
                  <c:v>120</c:v>
                </c:pt>
                <c:pt idx="1">
                  <c:v>150</c:v>
                </c:pt>
                <c:pt idx="2">
                  <c:v>200</c:v>
                </c:pt>
                <c:pt idx="3">
                  <c:v>500</c:v>
                </c:pt>
                <c:pt idx="4">
                  <c:v>750</c:v>
                </c:pt>
              </c:numCache>
            </c:numRef>
          </c:cat>
          <c:val>
            <c:numRef>
              <c:f>'SA gemiddle'!$I$5:$I$9</c:f>
              <c:numCache>
                <c:formatCode>General</c:formatCode>
                <c:ptCount val="5"/>
                <c:pt idx="0">
                  <c:v>355.64722222222224</c:v>
                </c:pt>
                <c:pt idx="1">
                  <c:v>376.19861111111112</c:v>
                </c:pt>
                <c:pt idx="2">
                  <c:v>328.07916666666659</c:v>
                </c:pt>
                <c:pt idx="3">
                  <c:v>322.85833333333329</c:v>
                </c:pt>
                <c:pt idx="4">
                  <c:v>365.85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'SA gemiddle'!$J$5:$J$9</c15:f>
                <c15:dlblRangeCache>
                  <c:ptCount val="5"/>
                  <c:pt idx="0">
                    <c:v>73,8</c:v>
                  </c:pt>
                  <c:pt idx="1">
                    <c:v>101,0</c:v>
                  </c:pt>
                  <c:pt idx="2">
                    <c:v>106,7</c:v>
                  </c:pt>
                  <c:pt idx="3">
                    <c:v>105,5</c:v>
                  </c:pt>
                  <c:pt idx="4">
                    <c:v>103,2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5395-45D0-8F40-A094916972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37301903"/>
        <c:axId val="1537302383"/>
      </c:barChart>
      <c:catAx>
        <c:axId val="15373019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Temperatuur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37302383"/>
        <c:crosses val="autoZero"/>
        <c:auto val="1"/>
        <c:lblAlgn val="ctr"/>
        <c:lblOffset val="100"/>
        <c:noMultiLvlLbl val="0"/>
      </c:catAx>
      <c:valAx>
        <c:axId val="153730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Gemidddlede</a:t>
                </a:r>
                <a:r>
                  <a:rPr lang="nl-NL" baseline="0"/>
                  <a:t> t</a:t>
                </a:r>
                <a:r>
                  <a:rPr lang="nl-NL"/>
                  <a:t>otale</a:t>
                </a:r>
                <a:r>
                  <a:rPr lang="nl-NL" baseline="0"/>
                  <a:t> penalty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37301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263524</xdr:colOff>
      <xdr:row>16</xdr:row>
      <xdr:rowOff>9526</xdr:rowOff>
    </xdr:from>
    <xdr:to>
      <xdr:col>25</xdr:col>
      <xdr:colOff>155574</xdr:colOff>
      <xdr:row>38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20DFCD-3167-F05C-3344-E5EC9777BD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3174</xdr:colOff>
      <xdr:row>1</xdr:row>
      <xdr:rowOff>6350</xdr:rowOff>
    </xdr:from>
    <xdr:to>
      <xdr:col>26</xdr:col>
      <xdr:colOff>266700</xdr:colOff>
      <xdr:row>17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280AAC-221E-1021-8EE8-DA04FE21EB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17</xdr:row>
      <xdr:rowOff>133350</xdr:rowOff>
    </xdr:from>
    <xdr:to>
      <xdr:col>21</xdr:col>
      <xdr:colOff>304800</xdr:colOff>
      <xdr:row>32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CA2AC8F-2BCE-9569-2142-5F8611FAC1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606424</xdr:colOff>
      <xdr:row>33</xdr:row>
      <xdr:rowOff>6350</xdr:rowOff>
    </xdr:from>
    <xdr:to>
      <xdr:col>22</xdr:col>
      <xdr:colOff>317499</xdr:colOff>
      <xdr:row>48</xdr:row>
      <xdr:rowOff>31750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E16DA55-E013-8787-0455-AC7579633B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49</xdr:row>
      <xdr:rowOff>0</xdr:rowOff>
    </xdr:from>
    <xdr:to>
      <xdr:col>21</xdr:col>
      <xdr:colOff>304800</xdr:colOff>
      <xdr:row>63</xdr:row>
      <xdr:rowOff>165100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0845DD4-E800-40F5-AECF-99231CDA4A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1"/>
  <sheetViews>
    <sheetView workbookViewId="0">
      <selection activeCell="O13" sqref="O13"/>
    </sheetView>
  </sheetViews>
  <sheetFormatPr defaultRowHeight="14.5" x14ac:dyDescent="0.35"/>
  <cols>
    <col min="1" max="1" width="6.36328125" customWidth="1"/>
    <col min="2" max="2" width="13.7265625" bestFit="1" customWidth="1"/>
    <col min="3" max="3" width="9.7265625" bestFit="1" customWidth="1"/>
    <col min="4" max="4" width="5.7265625" bestFit="1" customWidth="1"/>
    <col min="5" max="5" width="13.1796875" bestFit="1" customWidth="1"/>
    <col min="6" max="6" width="12.453125" bestFit="1" customWidth="1"/>
    <col min="7" max="7" width="12.54296875" bestFit="1" customWidth="1"/>
    <col min="8" max="8" width="14.1796875" bestFit="1" customWidth="1"/>
    <col min="9" max="9" width="15.1796875" bestFit="1" customWidth="1"/>
    <col min="10" max="10" width="28.54296875" bestFit="1" customWidth="1"/>
    <col min="11" max="11" width="18.17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70000</v>
      </c>
      <c r="B2">
        <v>0.99344277847092743</v>
      </c>
      <c r="C2">
        <v>100</v>
      </c>
      <c r="D2">
        <v>50</v>
      </c>
      <c r="E2">
        <v>1</v>
      </c>
      <c r="F2">
        <v>350.3333333333332</v>
      </c>
      <c r="G2">
        <v>350.3333333333332</v>
      </c>
      <c r="H2">
        <v>47.944444444444429</v>
      </c>
      <c r="I2">
        <v>5.4573705999937374</v>
      </c>
      <c r="J2">
        <v>2.886979999311734E-2</v>
      </c>
      <c r="K2">
        <v>5.4862403999868548</v>
      </c>
    </row>
    <row r="3" spans="1:11" x14ac:dyDescent="0.35">
      <c r="A3">
        <v>70000</v>
      </c>
      <c r="B3">
        <v>0.99344277847092743</v>
      </c>
      <c r="C3">
        <v>100</v>
      </c>
      <c r="D3">
        <v>50</v>
      </c>
      <c r="E3">
        <v>9</v>
      </c>
      <c r="F3">
        <v>351.3611111111104</v>
      </c>
      <c r="G3">
        <v>351.3611111111104</v>
      </c>
      <c r="H3">
        <v>44.583333333333272</v>
      </c>
      <c r="I3">
        <v>5.2597970000060741</v>
      </c>
      <c r="J3">
        <v>2.818770000885706E-2</v>
      </c>
      <c r="K3">
        <v>5.2879847000149311</v>
      </c>
    </row>
    <row r="4" spans="1:11" x14ac:dyDescent="0.35">
      <c r="A4">
        <v>70000</v>
      </c>
      <c r="B4">
        <v>0.99344277847092743</v>
      </c>
      <c r="C4">
        <v>100</v>
      </c>
      <c r="D4">
        <v>50</v>
      </c>
      <c r="E4">
        <v>14</v>
      </c>
      <c r="F4">
        <v>1122.9444444444439</v>
      </c>
      <c r="G4">
        <v>1122.9444444444439</v>
      </c>
      <c r="H4">
        <v>119.6388888888889</v>
      </c>
      <c r="I4">
        <v>5.2944044000032591</v>
      </c>
      <c r="J4">
        <v>3.4206900003482588E-2</v>
      </c>
      <c r="K4">
        <v>5.3286113000067417</v>
      </c>
    </row>
    <row r="5" spans="1:11" x14ac:dyDescent="0.35">
      <c r="A5">
        <v>70000</v>
      </c>
      <c r="B5">
        <v>0.99344277847092743</v>
      </c>
      <c r="C5">
        <v>100</v>
      </c>
      <c r="D5">
        <v>50</v>
      </c>
      <c r="E5">
        <v>88</v>
      </c>
      <c r="F5">
        <v>328.11111111111097</v>
      </c>
      <c r="G5">
        <v>328.11111111111097</v>
      </c>
      <c r="H5">
        <v>49.277777777777757</v>
      </c>
      <c r="I5">
        <v>5.3850468000018736</v>
      </c>
      <c r="J5">
        <v>4.2829099998925813E-2</v>
      </c>
      <c r="K5">
        <v>5.4278759000007986</v>
      </c>
    </row>
    <row r="6" spans="1:11" x14ac:dyDescent="0.35">
      <c r="A6">
        <v>70000</v>
      </c>
      <c r="B6">
        <v>0.99344277847092743</v>
      </c>
      <c r="C6">
        <v>100</v>
      </c>
      <c r="D6">
        <v>50</v>
      </c>
      <c r="E6">
        <v>1040440</v>
      </c>
      <c r="F6">
        <v>301.7777777777776</v>
      </c>
      <c r="G6">
        <v>301.7777777777776</v>
      </c>
      <c r="H6">
        <v>47.333333333333307</v>
      </c>
      <c r="I6">
        <v>5.3657833000033861</v>
      </c>
      <c r="J6">
        <v>3.0029499990632761E-2</v>
      </c>
      <c r="K6">
        <v>5.3958127999940189</v>
      </c>
    </row>
    <row r="7" spans="1:11" x14ac:dyDescent="0.35">
      <c r="A7">
        <v>70000</v>
      </c>
      <c r="B7">
        <v>0.954992586021436</v>
      </c>
      <c r="C7">
        <v>700</v>
      </c>
      <c r="D7">
        <v>50</v>
      </c>
      <c r="E7">
        <v>1</v>
      </c>
      <c r="F7">
        <v>597.08333333333348</v>
      </c>
      <c r="G7">
        <v>597.08333333333348</v>
      </c>
      <c r="H7">
        <v>59.416666666666671</v>
      </c>
      <c r="I7">
        <v>5.3932918999926187</v>
      </c>
      <c r="J7">
        <v>2.8165600000647831E-2</v>
      </c>
      <c r="K7">
        <v>5.4214574999932674</v>
      </c>
    </row>
    <row r="8" spans="1:11" x14ac:dyDescent="0.35">
      <c r="A8">
        <v>70000</v>
      </c>
      <c r="B8">
        <v>0.954992586021436</v>
      </c>
      <c r="C8">
        <v>700</v>
      </c>
      <c r="D8">
        <v>50</v>
      </c>
      <c r="E8">
        <v>9</v>
      </c>
      <c r="F8">
        <v>434.58333333333331</v>
      </c>
      <c r="G8">
        <v>434.58333333333331</v>
      </c>
      <c r="H8">
        <v>53.333333333333307</v>
      </c>
      <c r="I8">
        <v>5.4730686999973841</v>
      </c>
      <c r="J8">
        <v>2.9371100012212992E-2</v>
      </c>
      <c r="K8">
        <v>5.5024398000095971</v>
      </c>
    </row>
    <row r="9" spans="1:11" x14ac:dyDescent="0.35">
      <c r="A9">
        <v>70000</v>
      </c>
      <c r="B9">
        <v>0.954992586021436</v>
      </c>
      <c r="C9">
        <v>700</v>
      </c>
      <c r="D9">
        <v>50</v>
      </c>
      <c r="E9">
        <v>14</v>
      </c>
      <c r="F9">
        <v>1122.9444444444439</v>
      </c>
      <c r="G9">
        <v>1122.9444444444439</v>
      </c>
      <c r="H9">
        <v>119.6388888888889</v>
      </c>
      <c r="I9">
        <v>5.3978387999959523</v>
      </c>
      <c r="J9">
        <v>2.7418099998612892E-2</v>
      </c>
      <c r="K9">
        <v>5.4252568999945652</v>
      </c>
    </row>
    <row r="10" spans="1:11" x14ac:dyDescent="0.35">
      <c r="A10">
        <v>70000</v>
      </c>
      <c r="B10">
        <v>0.954992586021436</v>
      </c>
      <c r="C10">
        <v>700</v>
      </c>
      <c r="D10">
        <v>50</v>
      </c>
      <c r="E10">
        <v>88</v>
      </c>
      <c r="F10">
        <v>598.52777777777737</v>
      </c>
      <c r="G10">
        <v>598.52777777777737</v>
      </c>
      <c r="H10">
        <v>66.055555555555515</v>
      </c>
      <c r="I10">
        <v>5.3749436000071</v>
      </c>
      <c r="J10">
        <v>2.6015799987362701E-2</v>
      </c>
      <c r="K10">
        <v>5.4009593999944627</v>
      </c>
    </row>
    <row r="11" spans="1:11" x14ac:dyDescent="0.35">
      <c r="A11">
        <v>70000</v>
      </c>
      <c r="B11">
        <v>0.954992586021436</v>
      </c>
      <c r="C11">
        <v>700</v>
      </c>
      <c r="D11">
        <v>50</v>
      </c>
      <c r="E11">
        <v>1040440</v>
      </c>
      <c r="F11">
        <v>405.83333333333343</v>
      </c>
      <c r="G11">
        <v>395.33333333333343</v>
      </c>
      <c r="H11">
        <v>50.94444444444445</v>
      </c>
      <c r="I11">
        <v>5.3013153999927454</v>
      </c>
      <c r="J11">
        <v>5.1617400007671677E-2</v>
      </c>
      <c r="K11">
        <v>5.352932800000417</v>
      </c>
    </row>
    <row r="12" spans="1:11" x14ac:dyDescent="0.35">
      <c r="A12">
        <v>70000</v>
      </c>
      <c r="B12">
        <v>0.93632920882394144</v>
      </c>
      <c r="C12">
        <v>1000</v>
      </c>
      <c r="D12">
        <v>50</v>
      </c>
      <c r="E12">
        <v>1</v>
      </c>
      <c r="F12">
        <v>597.08333333333348</v>
      </c>
      <c r="G12">
        <v>597.08333333333348</v>
      </c>
      <c r="H12">
        <v>59.416666666666671</v>
      </c>
      <c r="I12">
        <v>5.4329145999945467</v>
      </c>
      <c r="J12">
        <v>2.576790000603069E-2</v>
      </c>
      <c r="K12">
        <v>5.4586825000005774</v>
      </c>
    </row>
    <row r="13" spans="1:11" x14ac:dyDescent="0.35">
      <c r="A13">
        <v>70000</v>
      </c>
      <c r="B13">
        <v>0.93632920882394144</v>
      </c>
      <c r="C13">
        <v>1000</v>
      </c>
      <c r="D13">
        <v>50</v>
      </c>
      <c r="E13">
        <v>9</v>
      </c>
      <c r="F13">
        <v>363.2777777777776</v>
      </c>
      <c r="G13">
        <v>363.2777777777776</v>
      </c>
      <c r="H13">
        <v>46.305555555555543</v>
      </c>
      <c r="I13">
        <v>5.3418183000030686</v>
      </c>
      <c r="J13">
        <v>2.5840399990556762E-2</v>
      </c>
      <c r="K13">
        <v>5.3676586999936262</v>
      </c>
    </row>
    <row r="14" spans="1:11" x14ac:dyDescent="0.35">
      <c r="A14">
        <v>70000</v>
      </c>
      <c r="B14">
        <v>0.93632920882394144</v>
      </c>
      <c r="C14">
        <v>1000</v>
      </c>
      <c r="D14">
        <v>50</v>
      </c>
      <c r="E14">
        <v>14</v>
      </c>
      <c r="F14">
        <v>1122.9444444444439</v>
      </c>
      <c r="G14">
        <v>1122.9444444444439</v>
      </c>
      <c r="H14">
        <v>119.6388888888889</v>
      </c>
      <c r="I14">
        <v>5.4622103000001516</v>
      </c>
      <c r="J14">
        <v>2.796749999106396E-2</v>
      </c>
      <c r="K14">
        <v>5.4901777999912156</v>
      </c>
    </row>
    <row r="15" spans="1:11" x14ac:dyDescent="0.35">
      <c r="A15">
        <v>70000</v>
      </c>
      <c r="B15">
        <v>0.93632920882394144</v>
      </c>
      <c r="C15">
        <v>1000</v>
      </c>
      <c r="D15">
        <v>50</v>
      </c>
      <c r="E15">
        <v>88</v>
      </c>
      <c r="F15">
        <v>747.94444444444412</v>
      </c>
      <c r="G15">
        <v>742.44444444444412</v>
      </c>
      <c r="H15">
        <v>78.083333333333314</v>
      </c>
      <c r="I15">
        <v>5.4381743999983883</v>
      </c>
      <c r="J15">
        <v>5.3627300003427081E-2</v>
      </c>
      <c r="K15">
        <v>5.4918017000018153</v>
      </c>
    </row>
    <row r="16" spans="1:11" x14ac:dyDescent="0.35">
      <c r="A16">
        <v>70000</v>
      </c>
      <c r="B16">
        <v>0.93632920882394144</v>
      </c>
      <c r="C16">
        <v>1000</v>
      </c>
      <c r="D16">
        <v>50</v>
      </c>
      <c r="E16">
        <v>1040440</v>
      </c>
      <c r="F16">
        <v>352.52777777777749</v>
      </c>
      <c r="G16">
        <v>352.52777777777749</v>
      </c>
      <c r="H16">
        <v>39.694444444444422</v>
      </c>
      <c r="I16">
        <v>5.4466206000070088</v>
      </c>
      <c r="J16">
        <v>3.1544299999950447E-2</v>
      </c>
      <c r="K16">
        <v>5.4781649000069592</v>
      </c>
    </row>
    <row r="17" spans="1:11" x14ac:dyDescent="0.35">
      <c r="A17">
        <v>70000</v>
      </c>
      <c r="B17">
        <v>0.91201083935590976</v>
      </c>
      <c r="C17">
        <v>1400</v>
      </c>
      <c r="D17">
        <v>50</v>
      </c>
      <c r="E17">
        <v>1</v>
      </c>
      <c r="F17">
        <v>344.72222222222229</v>
      </c>
      <c r="G17">
        <v>344.72222222222229</v>
      </c>
      <c r="H17">
        <v>50.972222222222243</v>
      </c>
      <c r="I17">
        <v>5.4357374000101117</v>
      </c>
      <c r="J17">
        <v>3.2682400007615797E-2</v>
      </c>
      <c r="K17">
        <v>5.4684198000177284</v>
      </c>
    </row>
    <row r="18" spans="1:11" x14ac:dyDescent="0.35">
      <c r="A18">
        <v>70000</v>
      </c>
      <c r="B18">
        <v>0.91201083935590976</v>
      </c>
      <c r="C18">
        <v>1400</v>
      </c>
      <c r="D18">
        <v>50</v>
      </c>
      <c r="E18">
        <v>9</v>
      </c>
      <c r="F18">
        <v>379.27777777777783</v>
      </c>
      <c r="G18">
        <v>379.27777777777783</v>
      </c>
      <c r="H18">
        <v>40.750000000000007</v>
      </c>
      <c r="I18">
        <v>5.304557700001169</v>
      </c>
      <c r="J18">
        <v>3.2044599996879697E-2</v>
      </c>
      <c r="K18">
        <v>5.3366022999980487</v>
      </c>
    </row>
    <row r="19" spans="1:11" x14ac:dyDescent="0.35">
      <c r="A19">
        <v>70000</v>
      </c>
      <c r="B19">
        <v>0.91201083935590976</v>
      </c>
      <c r="C19">
        <v>1400</v>
      </c>
      <c r="D19">
        <v>50</v>
      </c>
      <c r="E19">
        <v>14</v>
      </c>
      <c r="F19">
        <v>710.63888888888857</v>
      </c>
      <c r="G19">
        <v>710.63888888888857</v>
      </c>
      <c r="H19">
        <v>96.944444444444414</v>
      </c>
      <c r="I19">
        <v>5.371344200000749</v>
      </c>
      <c r="J19">
        <v>2.9427599991322499E-2</v>
      </c>
      <c r="K19">
        <v>5.4007717999920706</v>
      </c>
    </row>
    <row r="20" spans="1:11" x14ac:dyDescent="0.35">
      <c r="A20">
        <v>70000</v>
      </c>
      <c r="B20">
        <v>0.91201083935590976</v>
      </c>
      <c r="C20">
        <v>1400</v>
      </c>
      <c r="D20">
        <v>50</v>
      </c>
      <c r="E20">
        <v>88</v>
      </c>
      <c r="F20">
        <v>655.80555555555532</v>
      </c>
      <c r="G20">
        <v>655.80555555555532</v>
      </c>
      <c r="H20">
        <v>73.749999999999972</v>
      </c>
      <c r="I20">
        <v>5.6230972000048496</v>
      </c>
      <c r="J20">
        <v>3.3996600002865307E-2</v>
      </c>
      <c r="K20">
        <v>5.6570938000077149</v>
      </c>
    </row>
    <row r="21" spans="1:11" x14ac:dyDescent="0.35">
      <c r="A21">
        <v>70000</v>
      </c>
      <c r="B21">
        <v>0.91201083935590976</v>
      </c>
      <c r="C21">
        <v>1400</v>
      </c>
      <c r="D21">
        <v>50</v>
      </c>
      <c r="E21">
        <v>1040440</v>
      </c>
      <c r="F21">
        <v>308.08333333333331</v>
      </c>
      <c r="G21">
        <v>308.08333333333331</v>
      </c>
      <c r="H21">
        <v>45.777777777777757</v>
      </c>
      <c r="I21">
        <v>5.4539800999918953</v>
      </c>
      <c r="J21">
        <v>3.1482699996558949E-2</v>
      </c>
      <c r="K21">
        <v>5.4854627999884542</v>
      </c>
    </row>
    <row r="22" spans="1:11" x14ac:dyDescent="0.35">
      <c r="A22">
        <v>70000</v>
      </c>
      <c r="B22">
        <v>0.63095734448019325</v>
      </c>
      <c r="C22">
        <v>7000</v>
      </c>
      <c r="D22">
        <v>50</v>
      </c>
      <c r="E22">
        <v>1</v>
      </c>
      <c r="F22">
        <v>237.0555555555556</v>
      </c>
      <c r="G22">
        <v>237.0555555555556</v>
      </c>
      <c r="H22">
        <v>36.638888888888893</v>
      </c>
      <c r="I22">
        <v>5.5051964000012958</v>
      </c>
      <c r="J22">
        <v>4.1205799992894747E-2</v>
      </c>
      <c r="K22">
        <v>5.5464021999941906</v>
      </c>
    </row>
    <row r="23" spans="1:11" x14ac:dyDescent="0.35">
      <c r="A23">
        <v>70000</v>
      </c>
      <c r="B23">
        <v>0.63095734448019325</v>
      </c>
      <c r="C23">
        <v>7000</v>
      </c>
      <c r="D23">
        <v>50</v>
      </c>
      <c r="E23">
        <v>9</v>
      </c>
      <c r="F23">
        <v>309.72222222222229</v>
      </c>
      <c r="G23">
        <v>309.72222222222229</v>
      </c>
      <c r="H23">
        <v>48.027777777777779</v>
      </c>
      <c r="I23">
        <v>5.358968200001982</v>
      </c>
      <c r="J23">
        <v>2.734510001027957E-2</v>
      </c>
      <c r="K23">
        <v>5.3863133000122616</v>
      </c>
    </row>
    <row r="24" spans="1:11" x14ac:dyDescent="0.35">
      <c r="A24">
        <v>70000</v>
      </c>
      <c r="B24">
        <v>0.63095734448019325</v>
      </c>
      <c r="C24">
        <v>7000</v>
      </c>
      <c r="D24">
        <v>50</v>
      </c>
      <c r="E24">
        <v>14</v>
      </c>
      <c r="F24">
        <v>666.91666666666663</v>
      </c>
      <c r="G24">
        <v>666.91666666666663</v>
      </c>
      <c r="H24">
        <v>93.555555555555543</v>
      </c>
      <c r="I24">
        <v>5.4667237999965437</v>
      </c>
      <c r="J24">
        <v>2.6557699995464649E-2</v>
      </c>
      <c r="K24">
        <v>5.4932814999920083</v>
      </c>
    </row>
    <row r="25" spans="1:11" x14ac:dyDescent="0.35">
      <c r="A25">
        <v>70000</v>
      </c>
      <c r="B25">
        <v>0.63095734448019325</v>
      </c>
      <c r="C25">
        <v>7000</v>
      </c>
      <c r="D25">
        <v>50</v>
      </c>
      <c r="E25">
        <v>88</v>
      </c>
      <c r="F25">
        <v>719.74999999999989</v>
      </c>
      <c r="G25">
        <v>719.74999999999989</v>
      </c>
      <c r="H25">
        <v>84.583333333333314</v>
      </c>
      <c r="I25">
        <v>5.4309896999911871</v>
      </c>
      <c r="J25">
        <v>2.9569100006483499E-2</v>
      </c>
      <c r="K25">
        <v>5.4605587999976706</v>
      </c>
    </row>
    <row r="26" spans="1:11" x14ac:dyDescent="0.35">
      <c r="A26">
        <v>70000</v>
      </c>
      <c r="B26">
        <v>0.63095734448019325</v>
      </c>
      <c r="C26">
        <v>7000</v>
      </c>
      <c r="D26">
        <v>50</v>
      </c>
      <c r="E26">
        <v>1040440</v>
      </c>
      <c r="F26">
        <v>907.11111111111097</v>
      </c>
      <c r="G26">
        <v>835.75</v>
      </c>
      <c r="H26">
        <v>110.5833333333333</v>
      </c>
      <c r="I26">
        <v>5.5066878999932669</v>
      </c>
      <c r="J26">
        <v>0.13362530000449621</v>
      </c>
      <c r="K26">
        <v>5.6403131999977631</v>
      </c>
    </row>
    <row r="27" spans="1:11" x14ac:dyDescent="0.35">
      <c r="A27">
        <v>70000</v>
      </c>
      <c r="B27">
        <v>0.39810717055349731</v>
      </c>
      <c r="C27">
        <v>14000</v>
      </c>
      <c r="D27">
        <v>50</v>
      </c>
      <c r="E27">
        <v>1</v>
      </c>
      <c r="F27">
        <v>379.58333333333297</v>
      </c>
      <c r="G27">
        <v>379.58333333333297</v>
      </c>
      <c r="H27">
        <v>51.083333333333307</v>
      </c>
      <c r="I27">
        <v>5.3405979999952251</v>
      </c>
      <c r="J27">
        <v>3.0473899998469282E-2</v>
      </c>
      <c r="K27">
        <v>5.3710718999936944</v>
      </c>
    </row>
    <row r="28" spans="1:11" x14ac:dyDescent="0.35">
      <c r="A28">
        <v>70000</v>
      </c>
      <c r="B28">
        <v>0.39810717055349731</v>
      </c>
      <c r="C28">
        <v>14000</v>
      </c>
      <c r="D28">
        <v>50</v>
      </c>
      <c r="E28">
        <v>9</v>
      </c>
      <c r="F28">
        <v>396.52777777777783</v>
      </c>
      <c r="G28">
        <v>390.52777777777783</v>
      </c>
      <c r="H28">
        <v>56.583333333333329</v>
      </c>
      <c r="I28">
        <v>5.6789875999966171</v>
      </c>
      <c r="J28">
        <v>0.15731419999792709</v>
      </c>
      <c r="K28">
        <v>5.8363017999945441</v>
      </c>
    </row>
    <row r="29" spans="1:11" x14ac:dyDescent="0.35">
      <c r="A29">
        <v>70000</v>
      </c>
      <c r="B29">
        <v>0.39810717055349731</v>
      </c>
      <c r="C29">
        <v>14000</v>
      </c>
      <c r="D29">
        <v>50</v>
      </c>
      <c r="E29">
        <v>14</v>
      </c>
      <c r="F29">
        <v>480.44444444444468</v>
      </c>
      <c r="G29">
        <v>480.44444444444468</v>
      </c>
      <c r="H29">
        <v>66.333333333333357</v>
      </c>
      <c r="I29">
        <v>5.9562722999980906</v>
      </c>
      <c r="J29">
        <v>3.7358199988375418E-2</v>
      </c>
      <c r="K29">
        <v>5.993630499986466</v>
      </c>
    </row>
    <row r="30" spans="1:11" x14ac:dyDescent="0.35">
      <c r="A30">
        <v>70000</v>
      </c>
      <c r="B30">
        <v>0.39810717055349731</v>
      </c>
      <c r="C30">
        <v>14000</v>
      </c>
      <c r="D30">
        <v>50</v>
      </c>
      <c r="E30">
        <v>88</v>
      </c>
      <c r="F30">
        <v>172.05555555555549</v>
      </c>
      <c r="G30">
        <v>172.05555555555549</v>
      </c>
      <c r="H30">
        <v>18.388888888888889</v>
      </c>
      <c r="I30">
        <v>5.4124310000042897</v>
      </c>
      <c r="J30">
        <v>2.792480000061914E-2</v>
      </c>
      <c r="K30">
        <v>5.4403558000049088</v>
      </c>
    </row>
    <row r="31" spans="1:11" x14ac:dyDescent="0.35">
      <c r="A31">
        <v>70000</v>
      </c>
      <c r="B31">
        <v>0.39810717055349731</v>
      </c>
      <c r="C31">
        <v>14000</v>
      </c>
      <c r="D31">
        <v>50</v>
      </c>
      <c r="E31">
        <v>1040440</v>
      </c>
      <c r="F31">
        <v>386</v>
      </c>
      <c r="G31">
        <v>386</v>
      </c>
      <c r="H31">
        <v>59</v>
      </c>
      <c r="I31">
        <v>5.4037563000019873</v>
      </c>
      <c r="J31">
        <v>3.6350700000184588E-2</v>
      </c>
      <c r="K31">
        <v>5.4401070000021718</v>
      </c>
    </row>
    <row r="32" spans="1:11" x14ac:dyDescent="0.35">
      <c r="A32">
        <v>70000</v>
      </c>
      <c r="B32">
        <v>0.99344277847092743</v>
      </c>
      <c r="C32">
        <v>100</v>
      </c>
      <c r="D32">
        <v>80</v>
      </c>
      <c r="E32">
        <v>1</v>
      </c>
      <c r="F32">
        <v>288.77777777777749</v>
      </c>
      <c r="G32">
        <v>288.77777777777749</v>
      </c>
      <c r="H32">
        <v>42.999999999999972</v>
      </c>
      <c r="I32">
        <v>5.2595418999990224</v>
      </c>
      <c r="J32">
        <v>2.6627800005371679E-2</v>
      </c>
      <c r="K32">
        <v>5.2861697000043932</v>
      </c>
    </row>
    <row r="33" spans="1:11" x14ac:dyDescent="0.35">
      <c r="A33">
        <v>70000</v>
      </c>
      <c r="B33">
        <v>0.99344277847092743</v>
      </c>
      <c r="C33">
        <v>100</v>
      </c>
      <c r="D33">
        <v>80</v>
      </c>
      <c r="E33">
        <v>9</v>
      </c>
      <c r="F33">
        <v>545.16666666666663</v>
      </c>
      <c r="G33">
        <v>430.5</v>
      </c>
      <c r="H33">
        <v>65.805555555555557</v>
      </c>
      <c r="I33">
        <v>5.3040266999887544</v>
      </c>
      <c r="J33">
        <v>0.16787800000747671</v>
      </c>
      <c r="K33">
        <v>5.4719046999962302</v>
      </c>
    </row>
    <row r="34" spans="1:11" x14ac:dyDescent="0.35">
      <c r="A34">
        <v>70000</v>
      </c>
      <c r="B34">
        <v>0.99344277847092743</v>
      </c>
      <c r="C34">
        <v>100</v>
      </c>
      <c r="D34">
        <v>80</v>
      </c>
      <c r="E34">
        <v>14</v>
      </c>
      <c r="F34">
        <v>449.83333333333309</v>
      </c>
      <c r="G34">
        <v>449.83333333333309</v>
      </c>
      <c r="H34">
        <v>70.194444444444429</v>
      </c>
      <c r="I34">
        <v>5.4715453000098933</v>
      </c>
      <c r="J34">
        <v>2.6387999998405579E-2</v>
      </c>
      <c r="K34">
        <v>5.4979333000082988</v>
      </c>
    </row>
    <row r="35" spans="1:11" x14ac:dyDescent="0.35">
      <c r="A35">
        <v>70000</v>
      </c>
      <c r="B35">
        <v>0.99344277847092743</v>
      </c>
      <c r="C35">
        <v>100</v>
      </c>
      <c r="D35">
        <v>80</v>
      </c>
      <c r="E35">
        <v>88</v>
      </c>
      <c r="F35">
        <v>335.83333333333343</v>
      </c>
      <c r="G35">
        <v>335.83333333333343</v>
      </c>
      <c r="H35">
        <v>45.94444444444445</v>
      </c>
      <c r="I35">
        <v>5.3845195999892894</v>
      </c>
      <c r="J35">
        <v>7.0304699998814613E-2</v>
      </c>
      <c r="K35">
        <v>5.454824299988104</v>
      </c>
    </row>
    <row r="36" spans="1:11" x14ac:dyDescent="0.35">
      <c r="A36">
        <v>70000</v>
      </c>
      <c r="B36">
        <v>0.99344277847092743</v>
      </c>
      <c r="C36">
        <v>100</v>
      </c>
      <c r="D36">
        <v>80</v>
      </c>
      <c r="E36">
        <v>1040440</v>
      </c>
      <c r="F36">
        <v>509.19444444444417</v>
      </c>
      <c r="G36">
        <v>492.8611111111108</v>
      </c>
      <c r="H36">
        <v>62.638888888888857</v>
      </c>
      <c r="I36">
        <v>5.5277464999962831</v>
      </c>
      <c r="J36">
        <v>8.144529999117367E-2</v>
      </c>
      <c r="K36">
        <v>5.6091917999874568</v>
      </c>
    </row>
    <row r="37" spans="1:11" x14ac:dyDescent="0.35">
      <c r="A37">
        <v>70000</v>
      </c>
      <c r="B37">
        <v>0.954992586021436</v>
      </c>
      <c r="C37">
        <v>700</v>
      </c>
      <c r="D37">
        <v>80</v>
      </c>
      <c r="E37">
        <v>1</v>
      </c>
      <c r="F37">
        <v>468.38888888888908</v>
      </c>
      <c r="G37">
        <v>439.55555555555571</v>
      </c>
      <c r="H37">
        <v>58.444444444444457</v>
      </c>
      <c r="I37">
        <v>5.350226600014139</v>
      </c>
      <c r="J37">
        <v>0.10389880000730051</v>
      </c>
      <c r="K37">
        <v>5.4541254000214394</v>
      </c>
    </row>
    <row r="38" spans="1:11" x14ac:dyDescent="0.35">
      <c r="A38">
        <v>70000</v>
      </c>
      <c r="B38">
        <v>0.954992586021436</v>
      </c>
      <c r="C38">
        <v>700</v>
      </c>
      <c r="D38">
        <v>80</v>
      </c>
      <c r="E38">
        <v>9</v>
      </c>
      <c r="F38">
        <v>333.49999999999977</v>
      </c>
      <c r="G38">
        <v>333.49999999999977</v>
      </c>
      <c r="H38">
        <v>38.194444444444407</v>
      </c>
      <c r="I38">
        <v>5.3958826000016424</v>
      </c>
      <c r="J38">
        <v>2.9361099994275719E-2</v>
      </c>
      <c r="K38">
        <v>5.4252436999959173</v>
      </c>
    </row>
    <row r="39" spans="1:11" x14ac:dyDescent="0.35">
      <c r="A39">
        <v>70000</v>
      </c>
      <c r="B39">
        <v>0.954992586021436</v>
      </c>
      <c r="C39">
        <v>700</v>
      </c>
      <c r="D39">
        <v>80</v>
      </c>
      <c r="E39">
        <v>14</v>
      </c>
      <c r="F39">
        <v>398.83333333333343</v>
      </c>
      <c r="G39">
        <v>398.83333333333343</v>
      </c>
      <c r="H39">
        <v>61.222222222222243</v>
      </c>
      <c r="I39">
        <v>5.4637280000024484</v>
      </c>
      <c r="J39">
        <v>2.770479999890085E-2</v>
      </c>
      <c r="K39">
        <v>5.4914328000013484</v>
      </c>
    </row>
    <row r="40" spans="1:11" x14ac:dyDescent="0.35">
      <c r="A40">
        <v>70000</v>
      </c>
      <c r="B40">
        <v>0.954992586021436</v>
      </c>
      <c r="C40">
        <v>700</v>
      </c>
      <c r="D40">
        <v>80</v>
      </c>
      <c r="E40">
        <v>88</v>
      </c>
      <c r="F40">
        <v>331.7777777777776</v>
      </c>
      <c r="G40">
        <v>331.7777777777776</v>
      </c>
      <c r="H40">
        <v>45.527777777777757</v>
      </c>
      <c r="I40">
        <v>5.4542207999911616</v>
      </c>
      <c r="J40">
        <v>2.5708899993333031E-2</v>
      </c>
      <c r="K40">
        <v>5.4799296999844964</v>
      </c>
    </row>
    <row r="41" spans="1:11" x14ac:dyDescent="0.35">
      <c r="A41">
        <v>70000</v>
      </c>
      <c r="B41">
        <v>0.954992586021436</v>
      </c>
      <c r="C41">
        <v>700</v>
      </c>
      <c r="D41">
        <v>80</v>
      </c>
      <c r="E41">
        <v>1040440</v>
      </c>
      <c r="F41">
        <v>530.38888888888891</v>
      </c>
      <c r="G41">
        <v>530.38888888888891</v>
      </c>
      <c r="H41">
        <v>76.416666666666657</v>
      </c>
      <c r="I41">
        <v>5.4485341999970842</v>
      </c>
      <c r="J41">
        <v>2.9515899994294159E-2</v>
      </c>
      <c r="K41">
        <v>5.4780500999913784</v>
      </c>
    </row>
    <row r="42" spans="1:11" x14ac:dyDescent="0.35">
      <c r="A42">
        <v>70000</v>
      </c>
      <c r="B42">
        <v>0.93632920882394144</v>
      </c>
      <c r="C42">
        <v>1000</v>
      </c>
      <c r="D42">
        <v>80</v>
      </c>
      <c r="E42">
        <v>1</v>
      </c>
      <c r="F42">
        <v>338.94444444444463</v>
      </c>
      <c r="G42">
        <v>338.94444444444463</v>
      </c>
      <c r="H42">
        <v>44.250000000000007</v>
      </c>
      <c r="I42">
        <v>5.4514651000063168</v>
      </c>
      <c r="J42">
        <v>5.2202499995473772E-2</v>
      </c>
      <c r="K42">
        <v>5.5036676000017906</v>
      </c>
    </row>
    <row r="43" spans="1:11" x14ac:dyDescent="0.35">
      <c r="A43">
        <v>70000</v>
      </c>
      <c r="B43">
        <v>0.93632920882394144</v>
      </c>
      <c r="C43">
        <v>1000</v>
      </c>
      <c r="D43">
        <v>80</v>
      </c>
      <c r="E43">
        <v>9</v>
      </c>
      <c r="F43">
        <v>297.33333333333343</v>
      </c>
      <c r="G43">
        <v>297.33333333333343</v>
      </c>
      <c r="H43">
        <v>37.333333333333343</v>
      </c>
      <c r="I43">
        <v>5.4647019999974873</v>
      </c>
      <c r="J43">
        <v>3.2165800002985627E-2</v>
      </c>
      <c r="K43">
        <v>5.4968678000004729</v>
      </c>
    </row>
    <row r="44" spans="1:11" x14ac:dyDescent="0.35">
      <c r="A44">
        <v>70000</v>
      </c>
      <c r="B44">
        <v>0.93632920882394144</v>
      </c>
      <c r="C44">
        <v>1000</v>
      </c>
      <c r="D44">
        <v>80</v>
      </c>
      <c r="E44">
        <v>14</v>
      </c>
      <c r="F44">
        <v>543.08333333333314</v>
      </c>
      <c r="G44">
        <v>543.08333333333314</v>
      </c>
      <c r="H44">
        <v>71.666666666666643</v>
      </c>
      <c r="I44">
        <v>5.4902819999988424</v>
      </c>
      <c r="J44">
        <v>4.2487200000323362E-2</v>
      </c>
      <c r="K44">
        <v>5.5327691999991657</v>
      </c>
    </row>
    <row r="45" spans="1:11" x14ac:dyDescent="0.35">
      <c r="A45">
        <v>70000</v>
      </c>
      <c r="B45">
        <v>0.93632920882394144</v>
      </c>
      <c r="C45">
        <v>1000</v>
      </c>
      <c r="D45">
        <v>80</v>
      </c>
      <c r="E45">
        <v>88</v>
      </c>
      <c r="F45">
        <v>256.24999999999989</v>
      </c>
      <c r="G45">
        <v>256.24999999999989</v>
      </c>
      <c r="H45">
        <v>39.583333333333321</v>
      </c>
      <c r="I45">
        <v>5.6016309999977238</v>
      </c>
      <c r="J45">
        <v>2.7678899990860369E-2</v>
      </c>
      <c r="K45">
        <v>5.6293098999885842</v>
      </c>
    </row>
    <row r="46" spans="1:11" x14ac:dyDescent="0.35">
      <c r="A46">
        <v>70000</v>
      </c>
      <c r="B46">
        <v>0.93632920882394144</v>
      </c>
      <c r="C46">
        <v>1000</v>
      </c>
      <c r="D46">
        <v>80</v>
      </c>
      <c r="E46">
        <v>1040440</v>
      </c>
      <c r="F46">
        <v>268.55555555555549</v>
      </c>
      <c r="G46">
        <v>268.55555555555549</v>
      </c>
      <c r="H46">
        <v>40.444444444444443</v>
      </c>
      <c r="I46">
        <v>5.4615615000075186</v>
      </c>
      <c r="J46">
        <v>3.1300199989345863E-2</v>
      </c>
      <c r="K46">
        <v>5.4928616999968654</v>
      </c>
    </row>
    <row r="47" spans="1:11" x14ac:dyDescent="0.35">
      <c r="A47">
        <v>70000</v>
      </c>
      <c r="B47">
        <v>0.91201083935590976</v>
      </c>
      <c r="C47">
        <v>1400</v>
      </c>
      <c r="D47">
        <v>80</v>
      </c>
      <c r="E47">
        <v>1</v>
      </c>
      <c r="F47">
        <v>236.5</v>
      </c>
      <c r="G47">
        <v>236.5</v>
      </c>
      <c r="H47">
        <v>33.833333333333343</v>
      </c>
      <c r="I47">
        <v>5.3666782000072999</v>
      </c>
      <c r="J47">
        <v>3.0446000004303642E-2</v>
      </c>
      <c r="K47">
        <v>5.3971242000116044</v>
      </c>
    </row>
    <row r="48" spans="1:11" x14ac:dyDescent="0.35">
      <c r="A48">
        <v>70000</v>
      </c>
      <c r="B48">
        <v>0.91201083935590976</v>
      </c>
      <c r="C48">
        <v>1400</v>
      </c>
      <c r="D48">
        <v>80</v>
      </c>
      <c r="E48">
        <v>9</v>
      </c>
      <c r="F48">
        <v>490.27777777777783</v>
      </c>
      <c r="G48">
        <v>490.27777777777783</v>
      </c>
      <c r="H48">
        <v>65.666666666666657</v>
      </c>
      <c r="I48">
        <v>5.5124203000013949</v>
      </c>
      <c r="J48">
        <v>3.5041600000113249E-2</v>
      </c>
      <c r="K48">
        <v>5.5474619000015082</v>
      </c>
    </row>
    <row r="49" spans="1:11" x14ac:dyDescent="0.35">
      <c r="A49">
        <v>70000</v>
      </c>
      <c r="B49">
        <v>0.91201083935590976</v>
      </c>
      <c r="C49">
        <v>1400</v>
      </c>
      <c r="D49">
        <v>80</v>
      </c>
      <c r="E49">
        <v>14</v>
      </c>
      <c r="F49">
        <v>491.83333333333309</v>
      </c>
      <c r="G49">
        <v>491.83333333333309</v>
      </c>
      <c r="H49">
        <v>66.4722222222222</v>
      </c>
      <c r="I49">
        <v>5.6593218999914816</v>
      </c>
      <c r="J49">
        <v>2.948040000046603E-2</v>
      </c>
      <c r="K49">
        <v>5.6888022999919494</v>
      </c>
    </row>
    <row r="50" spans="1:11" x14ac:dyDescent="0.35">
      <c r="A50">
        <v>70000</v>
      </c>
      <c r="B50">
        <v>0.91201083935590976</v>
      </c>
      <c r="C50">
        <v>1400</v>
      </c>
      <c r="D50">
        <v>80</v>
      </c>
      <c r="E50">
        <v>88</v>
      </c>
      <c r="F50">
        <v>320.99999999999989</v>
      </c>
      <c r="G50">
        <v>320.99999999999989</v>
      </c>
      <c r="H50">
        <v>49.833333333333321</v>
      </c>
      <c r="I50">
        <v>5.419822199997725</v>
      </c>
      <c r="J50">
        <v>3.477319999365136E-2</v>
      </c>
      <c r="K50">
        <v>5.4545953999913763</v>
      </c>
    </row>
    <row r="51" spans="1:11" x14ac:dyDescent="0.35">
      <c r="A51">
        <v>70000</v>
      </c>
      <c r="B51">
        <v>0.91201083935590976</v>
      </c>
      <c r="C51">
        <v>1400</v>
      </c>
      <c r="D51">
        <v>80</v>
      </c>
      <c r="E51">
        <v>1040440</v>
      </c>
      <c r="F51">
        <v>296.74999999999977</v>
      </c>
      <c r="G51">
        <v>296.74999999999977</v>
      </c>
      <c r="H51">
        <v>44.8333333333333</v>
      </c>
      <c r="I51">
        <v>5.4911997000017436</v>
      </c>
      <c r="J51">
        <v>2.7114700002130121E-2</v>
      </c>
      <c r="K51">
        <v>5.5183144000038737</v>
      </c>
    </row>
    <row r="52" spans="1:11" x14ac:dyDescent="0.35">
      <c r="A52">
        <v>70000</v>
      </c>
      <c r="B52">
        <v>0.63095734448019325</v>
      </c>
      <c r="C52">
        <v>7000</v>
      </c>
      <c r="D52">
        <v>80</v>
      </c>
      <c r="E52">
        <v>1</v>
      </c>
      <c r="F52">
        <v>180.8888888888888</v>
      </c>
      <c r="G52">
        <v>180.8888888888888</v>
      </c>
      <c r="H52">
        <v>27.222222222222211</v>
      </c>
      <c r="I52">
        <v>5.3740896000090288</v>
      </c>
      <c r="J52">
        <v>2.6420799986226481E-2</v>
      </c>
      <c r="K52">
        <v>5.4005103999952553</v>
      </c>
    </row>
    <row r="53" spans="1:11" x14ac:dyDescent="0.35">
      <c r="A53">
        <v>70000</v>
      </c>
      <c r="B53">
        <v>0.63095734448019325</v>
      </c>
      <c r="C53">
        <v>7000</v>
      </c>
      <c r="D53">
        <v>80</v>
      </c>
      <c r="E53">
        <v>9</v>
      </c>
      <c r="F53">
        <v>419.72222222222217</v>
      </c>
      <c r="G53">
        <v>419.72222222222217</v>
      </c>
      <c r="H53">
        <v>58.416666666666657</v>
      </c>
      <c r="I53">
        <v>5.4092961999995168</v>
      </c>
      <c r="J53">
        <v>3.2345499988878153E-2</v>
      </c>
      <c r="K53">
        <v>5.441641699988395</v>
      </c>
    </row>
    <row r="54" spans="1:11" x14ac:dyDescent="0.35">
      <c r="A54">
        <v>70000</v>
      </c>
      <c r="B54">
        <v>0.63095734448019325</v>
      </c>
      <c r="C54">
        <v>7000</v>
      </c>
      <c r="D54">
        <v>80</v>
      </c>
      <c r="E54">
        <v>14</v>
      </c>
      <c r="F54">
        <v>336.97222222222217</v>
      </c>
      <c r="G54">
        <v>324.97222222222217</v>
      </c>
      <c r="H54">
        <v>49.138888888888879</v>
      </c>
      <c r="I54">
        <v>5.5020974999933969</v>
      </c>
      <c r="J54">
        <v>5.3988600004231557E-2</v>
      </c>
      <c r="K54">
        <v>5.5560860999976276</v>
      </c>
    </row>
    <row r="55" spans="1:11" x14ac:dyDescent="0.35">
      <c r="A55">
        <v>70000</v>
      </c>
      <c r="B55">
        <v>0.63095734448019325</v>
      </c>
      <c r="C55">
        <v>7000</v>
      </c>
      <c r="D55">
        <v>80</v>
      </c>
      <c r="E55">
        <v>88</v>
      </c>
      <c r="F55">
        <v>432.72222222222217</v>
      </c>
      <c r="G55">
        <v>432.72222222222217</v>
      </c>
      <c r="H55">
        <v>57.30555555555555</v>
      </c>
      <c r="I55">
        <v>5.4319042999995872</v>
      </c>
      <c r="J55">
        <v>2.6238200007355768E-2</v>
      </c>
      <c r="K55">
        <v>5.458142500006943</v>
      </c>
    </row>
    <row r="56" spans="1:11" x14ac:dyDescent="0.35">
      <c r="A56">
        <v>70000</v>
      </c>
      <c r="B56">
        <v>0.63095734448019325</v>
      </c>
      <c r="C56">
        <v>7000</v>
      </c>
      <c r="D56">
        <v>80</v>
      </c>
      <c r="E56">
        <v>1040440</v>
      </c>
      <c r="F56">
        <v>468.05555555555537</v>
      </c>
      <c r="G56">
        <v>468.05555555555537</v>
      </c>
      <c r="H56">
        <v>63.555555555555543</v>
      </c>
      <c r="I56">
        <v>5.4114660000050208</v>
      </c>
      <c r="J56">
        <v>3.281760000390932E-2</v>
      </c>
      <c r="K56">
        <v>5.4442836000089301</v>
      </c>
    </row>
    <row r="57" spans="1:11" x14ac:dyDescent="0.35">
      <c r="A57">
        <v>70000</v>
      </c>
      <c r="B57">
        <v>0.39810717055349731</v>
      </c>
      <c r="C57">
        <v>14000</v>
      </c>
      <c r="D57">
        <v>80</v>
      </c>
      <c r="E57">
        <v>1</v>
      </c>
      <c r="F57">
        <v>301.5</v>
      </c>
      <c r="G57">
        <v>301.49999999999977</v>
      </c>
      <c r="H57">
        <v>32.083333333333307</v>
      </c>
      <c r="I57">
        <v>5.42910789999587</v>
      </c>
      <c r="J57">
        <v>5.5741399992257357E-2</v>
      </c>
      <c r="K57">
        <v>5.4848492999881273</v>
      </c>
    </row>
    <row r="58" spans="1:11" x14ac:dyDescent="0.35">
      <c r="A58">
        <v>70000</v>
      </c>
      <c r="B58">
        <v>0.39810717055349731</v>
      </c>
      <c r="C58">
        <v>14000</v>
      </c>
      <c r="D58">
        <v>80</v>
      </c>
      <c r="E58">
        <v>9</v>
      </c>
      <c r="F58">
        <v>319.94444444444451</v>
      </c>
      <c r="G58">
        <v>319.94444444444451</v>
      </c>
      <c r="H58">
        <v>48.916666666666679</v>
      </c>
      <c r="I58">
        <v>5.3811884000024293</v>
      </c>
      <c r="J58">
        <v>3.0048699991311881E-2</v>
      </c>
      <c r="K58">
        <v>5.4112370999937411</v>
      </c>
    </row>
    <row r="59" spans="1:11" x14ac:dyDescent="0.35">
      <c r="A59">
        <v>70000</v>
      </c>
      <c r="B59">
        <v>0.39810717055349731</v>
      </c>
      <c r="C59">
        <v>14000</v>
      </c>
      <c r="D59">
        <v>80</v>
      </c>
      <c r="E59">
        <v>14</v>
      </c>
      <c r="F59">
        <v>285.16666666666691</v>
      </c>
      <c r="G59">
        <v>285.16666666666691</v>
      </c>
      <c r="H59">
        <v>30.333333333333361</v>
      </c>
      <c r="I59">
        <v>5.4840727999981027</v>
      </c>
      <c r="J59">
        <v>3.0204299997421909E-2</v>
      </c>
      <c r="K59">
        <v>5.5142770999955246</v>
      </c>
    </row>
    <row r="60" spans="1:11" x14ac:dyDescent="0.35">
      <c r="A60">
        <v>70000</v>
      </c>
      <c r="B60">
        <v>0.39810717055349731</v>
      </c>
      <c r="C60">
        <v>14000</v>
      </c>
      <c r="D60">
        <v>80</v>
      </c>
      <c r="E60">
        <v>88</v>
      </c>
      <c r="F60">
        <v>475.94444444444429</v>
      </c>
      <c r="G60">
        <v>475.94444444444429</v>
      </c>
      <c r="H60">
        <v>66.583333333333314</v>
      </c>
      <c r="I60">
        <v>5.4864153000089573</v>
      </c>
      <c r="J60">
        <v>2.9553999993368048E-2</v>
      </c>
      <c r="K60">
        <v>5.5159693000023253</v>
      </c>
    </row>
    <row r="61" spans="1:11" x14ac:dyDescent="0.35">
      <c r="A61">
        <v>70000</v>
      </c>
      <c r="B61">
        <v>0.39810717055349731</v>
      </c>
      <c r="C61">
        <v>14000</v>
      </c>
      <c r="D61">
        <v>80</v>
      </c>
      <c r="E61">
        <v>1040440</v>
      </c>
      <c r="F61">
        <v>322</v>
      </c>
      <c r="G61">
        <v>322</v>
      </c>
      <c r="H61">
        <v>43.888888888888893</v>
      </c>
      <c r="I61">
        <v>5.4248564000008628</v>
      </c>
      <c r="J61">
        <v>2.684619999490678E-2</v>
      </c>
      <c r="K61">
        <v>5.4517025999957696</v>
      </c>
    </row>
    <row r="62" spans="1:11" x14ac:dyDescent="0.35">
      <c r="A62">
        <v>70000</v>
      </c>
      <c r="B62">
        <v>0.99344277847092743</v>
      </c>
      <c r="C62">
        <v>100</v>
      </c>
      <c r="D62">
        <v>100</v>
      </c>
      <c r="E62">
        <v>1</v>
      </c>
      <c r="F62">
        <v>510</v>
      </c>
      <c r="G62">
        <v>510</v>
      </c>
      <c r="H62">
        <v>68.75</v>
      </c>
      <c r="I62">
        <v>5.3561132000031648</v>
      </c>
      <c r="J62">
        <v>2.7710599999409169E-2</v>
      </c>
      <c r="K62">
        <v>5.383823800002574</v>
      </c>
    </row>
    <row r="63" spans="1:11" x14ac:dyDescent="0.35">
      <c r="A63">
        <v>70000</v>
      </c>
      <c r="B63">
        <v>0.99344277847092743</v>
      </c>
      <c r="C63">
        <v>100</v>
      </c>
      <c r="D63">
        <v>100</v>
      </c>
      <c r="E63">
        <v>9</v>
      </c>
      <c r="F63">
        <v>728.19444444444412</v>
      </c>
      <c r="G63">
        <v>728.19444444444412</v>
      </c>
      <c r="H63">
        <v>81.666666666666629</v>
      </c>
      <c r="I63">
        <v>5.4802204000006904</v>
      </c>
      <c r="J63">
        <v>6.9243399993865751E-2</v>
      </c>
      <c r="K63">
        <v>5.5494637999945553</v>
      </c>
    </row>
    <row r="64" spans="1:11" x14ac:dyDescent="0.35">
      <c r="A64">
        <v>70000</v>
      </c>
      <c r="B64">
        <v>0.99344277847092743</v>
      </c>
      <c r="C64">
        <v>100</v>
      </c>
      <c r="D64">
        <v>100</v>
      </c>
      <c r="E64">
        <v>14</v>
      </c>
      <c r="F64">
        <v>146.0555555555556</v>
      </c>
      <c r="G64">
        <v>146.0555555555556</v>
      </c>
      <c r="H64">
        <v>16.972222222222229</v>
      </c>
      <c r="I64">
        <v>5.2576173999987077</v>
      </c>
      <c r="J64">
        <v>3.308649999962654E-2</v>
      </c>
      <c r="K64">
        <v>5.2907038999983342</v>
      </c>
    </row>
    <row r="65" spans="1:11" x14ac:dyDescent="0.35">
      <c r="A65">
        <v>70000</v>
      </c>
      <c r="B65">
        <v>0.99344277847092743</v>
      </c>
      <c r="C65">
        <v>100</v>
      </c>
      <c r="D65">
        <v>100</v>
      </c>
      <c r="E65">
        <v>88</v>
      </c>
      <c r="F65">
        <v>258.49999999999989</v>
      </c>
      <c r="G65">
        <v>258.49999999999989</v>
      </c>
      <c r="H65">
        <v>41.416666666666657</v>
      </c>
      <c r="I65">
        <v>5.3263131999992774</v>
      </c>
      <c r="J65">
        <v>2.7839700007461939E-2</v>
      </c>
      <c r="K65">
        <v>5.3541529000067376</v>
      </c>
    </row>
    <row r="66" spans="1:11" x14ac:dyDescent="0.35">
      <c r="A66">
        <v>70000</v>
      </c>
      <c r="B66">
        <v>0.99344277847092743</v>
      </c>
      <c r="C66">
        <v>100</v>
      </c>
      <c r="D66">
        <v>100</v>
      </c>
      <c r="E66">
        <v>1040440</v>
      </c>
      <c r="F66">
        <v>311.00000000000011</v>
      </c>
      <c r="G66">
        <v>311.00000000000011</v>
      </c>
      <c r="H66">
        <v>45.833333333333343</v>
      </c>
      <c r="I66">
        <v>5.2040677000040887</v>
      </c>
      <c r="J66">
        <v>3.0787799987592731E-2</v>
      </c>
      <c r="K66">
        <v>5.2348554999916814</v>
      </c>
    </row>
    <row r="67" spans="1:11" x14ac:dyDescent="0.35">
      <c r="A67">
        <v>70000</v>
      </c>
      <c r="B67">
        <v>0.954992586021436</v>
      </c>
      <c r="C67">
        <v>700</v>
      </c>
      <c r="D67">
        <v>100</v>
      </c>
      <c r="E67">
        <v>1</v>
      </c>
      <c r="F67">
        <v>236.5</v>
      </c>
      <c r="G67">
        <v>236.5</v>
      </c>
      <c r="H67">
        <v>33.833333333333343</v>
      </c>
      <c r="I67">
        <v>5.5452548999892306</v>
      </c>
      <c r="J67">
        <v>3.094989999954123E-2</v>
      </c>
      <c r="K67">
        <v>5.5762047999887727</v>
      </c>
    </row>
    <row r="68" spans="1:11" x14ac:dyDescent="0.35">
      <c r="A68">
        <v>70000</v>
      </c>
      <c r="B68">
        <v>0.954992586021436</v>
      </c>
      <c r="C68">
        <v>700</v>
      </c>
      <c r="D68">
        <v>100</v>
      </c>
      <c r="E68">
        <v>9</v>
      </c>
      <c r="F68">
        <v>292.99999999999972</v>
      </c>
      <c r="G68">
        <v>273.83333333333331</v>
      </c>
      <c r="H68">
        <v>41.249999999999993</v>
      </c>
      <c r="I68">
        <v>5.3826536000124179</v>
      </c>
      <c r="J68">
        <v>0.1023690000001807</v>
      </c>
      <c r="K68">
        <v>5.4850226000125986</v>
      </c>
    </row>
    <row r="69" spans="1:11" x14ac:dyDescent="0.35">
      <c r="A69">
        <v>70000</v>
      </c>
      <c r="B69">
        <v>0.954992586021436</v>
      </c>
      <c r="C69">
        <v>700</v>
      </c>
      <c r="D69">
        <v>100</v>
      </c>
      <c r="E69">
        <v>14</v>
      </c>
      <c r="F69">
        <v>443.97222222222217</v>
      </c>
      <c r="G69">
        <v>443.97222222222217</v>
      </c>
      <c r="H69">
        <v>46.249999999999993</v>
      </c>
      <c r="I69">
        <v>5.530341400008183</v>
      </c>
      <c r="J69">
        <v>3.046840000024531E-2</v>
      </c>
      <c r="K69">
        <v>5.5608098000084283</v>
      </c>
    </row>
    <row r="70" spans="1:11" x14ac:dyDescent="0.35">
      <c r="A70">
        <v>70000</v>
      </c>
      <c r="B70">
        <v>0.954992586021436</v>
      </c>
      <c r="C70">
        <v>700</v>
      </c>
      <c r="D70">
        <v>100</v>
      </c>
      <c r="E70">
        <v>88</v>
      </c>
      <c r="F70">
        <v>529.05555555555566</v>
      </c>
      <c r="G70">
        <v>529.05555555555566</v>
      </c>
      <c r="H70">
        <v>66.027777777777786</v>
      </c>
      <c r="I70">
        <v>5.4627100000070641</v>
      </c>
      <c r="J70">
        <v>2.8304699997534041E-2</v>
      </c>
      <c r="K70">
        <v>5.4910147000045981</v>
      </c>
    </row>
    <row r="71" spans="1:11" x14ac:dyDescent="0.35">
      <c r="A71">
        <v>70000</v>
      </c>
      <c r="B71">
        <v>0.954992586021436</v>
      </c>
      <c r="C71">
        <v>700</v>
      </c>
      <c r="D71">
        <v>100</v>
      </c>
      <c r="E71">
        <v>1040440</v>
      </c>
      <c r="F71">
        <v>440.83333333333331</v>
      </c>
      <c r="G71">
        <v>440.83333333333331</v>
      </c>
      <c r="H71">
        <v>67.1111111111111</v>
      </c>
      <c r="I71">
        <v>5.4209125999914249</v>
      </c>
      <c r="J71">
        <v>3.458590000809636E-2</v>
      </c>
      <c r="K71">
        <v>5.4554984999995213</v>
      </c>
    </row>
    <row r="72" spans="1:11" x14ac:dyDescent="0.35">
      <c r="A72">
        <v>70000</v>
      </c>
      <c r="B72">
        <v>0.93632920882394144</v>
      </c>
      <c r="C72">
        <v>1000</v>
      </c>
      <c r="D72">
        <v>100</v>
      </c>
      <c r="E72">
        <v>1</v>
      </c>
      <c r="F72">
        <v>337.47222222222217</v>
      </c>
      <c r="G72">
        <v>337.47222222222217</v>
      </c>
      <c r="H72">
        <v>47.527777777777771</v>
      </c>
      <c r="I72">
        <v>5.4593801000009989</v>
      </c>
      <c r="J72">
        <v>2.8837400008342229E-2</v>
      </c>
      <c r="K72">
        <v>5.4882175000093412</v>
      </c>
    </row>
    <row r="73" spans="1:11" x14ac:dyDescent="0.35">
      <c r="A73">
        <v>70000</v>
      </c>
      <c r="B73">
        <v>0.93632920882394144</v>
      </c>
      <c r="C73">
        <v>1000</v>
      </c>
      <c r="D73">
        <v>100</v>
      </c>
      <c r="E73">
        <v>9</v>
      </c>
      <c r="F73">
        <v>465.02777777777789</v>
      </c>
      <c r="G73">
        <v>465.02777777777789</v>
      </c>
      <c r="H73">
        <v>62.722222222222243</v>
      </c>
      <c r="I73">
        <v>5.463936800006195</v>
      </c>
      <c r="J73">
        <v>3.0299200006993491E-2</v>
      </c>
      <c r="K73">
        <v>5.4942360000131876</v>
      </c>
    </row>
    <row r="74" spans="1:11" x14ac:dyDescent="0.35">
      <c r="A74">
        <v>70000</v>
      </c>
      <c r="B74">
        <v>0.93632920882394144</v>
      </c>
      <c r="C74">
        <v>1000</v>
      </c>
      <c r="D74">
        <v>100</v>
      </c>
      <c r="E74">
        <v>14</v>
      </c>
      <c r="F74">
        <v>464.94444444444463</v>
      </c>
      <c r="G74">
        <v>455.44444444444463</v>
      </c>
      <c r="H74">
        <v>67.555555555555571</v>
      </c>
      <c r="I74">
        <v>5.5989389000023948</v>
      </c>
      <c r="J74">
        <v>5.9117899989360012E-2</v>
      </c>
      <c r="K74">
        <v>5.6580567999917548</v>
      </c>
    </row>
    <row r="75" spans="1:11" x14ac:dyDescent="0.35">
      <c r="A75">
        <v>70000</v>
      </c>
      <c r="B75">
        <v>0.93632920882394144</v>
      </c>
      <c r="C75">
        <v>1000</v>
      </c>
      <c r="D75">
        <v>100</v>
      </c>
      <c r="E75">
        <v>88</v>
      </c>
      <c r="F75">
        <v>291.6111111111112</v>
      </c>
      <c r="G75">
        <v>291.6111111111112</v>
      </c>
      <c r="H75">
        <v>43.277777777777793</v>
      </c>
      <c r="I75">
        <v>5.4004982999904314</v>
      </c>
      <c r="J75">
        <v>2.623050000693183E-2</v>
      </c>
      <c r="K75">
        <v>5.4267287999973632</v>
      </c>
    </row>
    <row r="76" spans="1:11" x14ac:dyDescent="0.35">
      <c r="A76">
        <v>70000</v>
      </c>
      <c r="B76">
        <v>0.93632920882394144</v>
      </c>
      <c r="C76">
        <v>1000</v>
      </c>
      <c r="D76">
        <v>100</v>
      </c>
      <c r="E76">
        <v>1040440</v>
      </c>
      <c r="F76">
        <v>357.94444444444429</v>
      </c>
      <c r="G76">
        <v>357.94444444444429</v>
      </c>
      <c r="H76">
        <v>54.499999999999979</v>
      </c>
      <c r="I76">
        <v>5.3914205000037327</v>
      </c>
      <c r="J76">
        <v>2.6157700005569499E-2</v>
      </c>
      <c r="K76">
        <v>5.4175782000093022</v>
      </c>
    </row>
    <row r="77" spans="1:11" x14ac:dyDescent="0.35">
      <c r="A77">
        <v>70000</v>
      </c>
      <c r="B77">
        <v>0.91201083935590976</v>
      </c>
      <c r="C77">
        <v>1400</v>
      </c>
      <c r="D77">
        <v>100</v>
      </c>
      <c r="E77">
        <v>1</v>
      </c>
      <c r="F77">
        <v>260.33333333333343</v>
      </c>
      <c r="G77">
        <v>260.33333333333343</v>
      </c>
      <c r="H77">
        <v>38.94444444444445</v>
      </c>
      <c r="I77">
        <v>5.5472913999983584</v>
      </c>
      <c r="J77">
        <v>2.9204299993580211E-2</v>
      </c>
      <c r="K77">
        <v>5.5764956999919377</v>
      </c>
    </row>
    <row r="78" spans="1:11" x14ac:dyDescent="0.35">
      <c r="A78">
        <v>70000</v>
      </c>
      <c r="B78">
        <v>0.91201083935590976</v>
      </c>
      <c r="C78">
        <v>1400</v>
      </c>
      <c r="D78">
        <v>100</v>
      </c>
      <c r="E78">
        <v>9</v>
      </c>
      <c r="F78">
        <v>279</v>
      </c>
      <c r="G78">
        <v>279</v>
      </c>
      <c r="H78">
        <v>43.833333333333343</v>
      </c>
      <c r="I78">
        <v>5.4846646999940276</v>
      </c>
      <c r="J78">
        <v>3.2925799998338327E-2</v>
      </c>
      <c r="K78">
        <v>5.5175904999923659</v>
      </c>
    </row>
    <row r="79" spans="1:11" x14ac:dyDescent="0.35">
      <c r="A79">
        <v>70000</v>
      </c>
      <c r="B79">
        <v>0.91201083935590976</v>
      </c>
      <c r="C79">
        <v>1400</v>
      </c>
      <c r="D79">
        <v>100</v>
      </c>
      <c r="E79">
        <v>14</v>
      </c>
      <c r="F79">
        <v>309.38888888888857</v>
      </c>
      <c r="G79">
        <v>309.38888888888857</v>
      </c>
      <c r="H79">
        <v>45.805555555555507</v>
      </c>
      <c r="I79">
        <v>5.4904815999907441</v>
      </c>
      <c r="J79">
        <v>2.9395699995802719E-2</v>
      </c>
      <c r="K79">
        <v>5.5198772999865469</v>
      </c>
    </row>
    <row r="80" spans="1:11" x14ac:dyDescent="0.35">
      <c r="A80">
        <v>70000</v>
      </c>
      <c r="B80">
        <v>0.91201083935590976</v>
      </c>
      <c r="C80">
        <v>1400</v>
      </c>
      <c r="D80">
        <v>100</v>
      </c>
      <c r="E80">
        <v>88</v>
      </c>
      <c r="F80">
        <v>418.38888888888891</v>
      </c>
      <c r="G80">
        <v>418.38888888888891</v>
      </c>
      <c r="H80">
        <v>54.944444444444443</v>
      </c>
      <c r="I80">
        <v>5.4880057999980636</v>
      </c>
      <c r="J80">
        <v>2.9205099999671798E-2</v>
      </c>
      <c r="K80">
        <v>5.5172108999977354</v>
      </c>
    </row>
    <row r="81" spans="1:11" x14ac:dyDescent="0.35">
      <c r="A81">
        <v>70000</v>
      </c>
      <c r="B81">
        <v>0.91201083935590976</v>
      </c>
      <c r="C81">
        <v>1400</v>
      </c>
      <c r="D81">
        <v>100</v>
      </c>
      <c r="E81">
        <v>1040440</v>
      </c>
      <c r="F81">
        <v>452.66666666666669</v>
      </c>
      <c r="G81">
        <v>452.66666666666669</v>
      </c>
      <c r="H81">
        <v>62.694444444444457</v>
      </c>
      <c r="I81">
        <v>5.3731276000035004</v>
      </c>
      <c r="J81">
        <v>2.5840799993602559E-2</v>
      </c>
      <c r="K81">
        <v>5.3989683999971021</v>
      </c>
    </row>
    <row r="82" spans="1:11" x14ac:dyDescent="0.35">
      <c r="A82">
        <v>70000</v>
      </c>
      <c r="B82">
        <v>0.63095734448019325</v>
      </c>
      <c r="C82">
        <v>7000</v>
      </c>
      <c r="D82">
        <v>100</v>
      </c>
      <c r="E82">
        <v>1</v>
      </c>
      <c r="F82">
        <v>272.55555555555549</v>
      </c>
      <c r="G82">
        <v>272.55555555555549</v>
      </c>
      <c r="H82">
        <v>38.80555555555555</v>
      </c>
      <c r="I82">
        <v>5.5051228999946034</v>
      </c>
      <c r="J82">
        <v>2.9653899997356351E-2</v>
      </c>
      <c r="K82">
        <v>5.5347767999919597</v>
      </c>
    </row>
    <row r="83" spans="1:11" x14ac:dyDescent="0.35">
      <c r="A83">
        <v>70000</v>
      </c>
      <c r="B83">
        <v>0.63095734448019325</v>
      </c>
      <c r="C83">
        <v>7000</v>
      </c>
      <c r="D83">
        <v>100</v>
      </c>
      <c r="E83">
        <v>9</v>
      </c>
      <c r="F83">
        <v>462.16666666666657</v>
      </c>
      <c r="G83">
        <v>462.16666666666657</v>
      </c>
      <c r="H83">
        <v>61.222222222222229</v>
      </c>
      <c r="I83">
        <v>5.6115487000060966</v>
      </c>
      <c r="J83">
        <v>3.6392000009072938E-2</v>
      </c>
      <c r="K83">
        <v>5.6479407000151696</v>
      </c>
    </row>
    <row r="84" spans="1:11" x14ac:dyDescent="0.35">
      <c r="A84">
        <v>70000</v>
      </c>
      <c r="B84">
        <v>0.63095734448019325</v>
      </c>
      <c r="C84">
        <v>7000</v>
      </c>
      <c r="D84">
        <v>100</v>
      </c>
      <c r="E84">
        <v>14</v>
      </c>
      <c r="F84">
        <v>390.50000000000011</v>
      </c>
      <c r="G84">
        <v>390.50000000000011</v>
      </c>
      <c r="H84">
        <v>56.94444444444445</v>
      </c>
      <c r="I84">
        <v>5.3880288000073051</v>
      </c>
      <c r="J84">
        <v>2.500969999528024E-2</v>
      </c>
      <c r="K84">
        <v>5.4130385000025854</v>
      </c>
    </row>
    <row r="85" spans="1:11" x14ac:dyDescent="0.35">
      <c r="A85">
        <v>70000</v>
      </c>
      <c r="B85">
        <v>0.63095734448019325</v>
      </c>
      <c r="C85">
        <v>7000</v>
      </c>
      <c r="D85">
        <v>100</v>
      </c>
      <c r="E85">
        <v>88</v>
      </c>
      <c r="F85">
        <v>386.05555555555571</v>
      </c>
      <c r="G85">
        <v>386.05555555555571</v>
      </c>
      <c r="H85">
        <v>59.888888888888893</v>
      </c>
      <c r="I85">
        <v>5.3893816000054358</v>
      </c>
      <c r="J85">
        <v>2.67603000102099E-2</v>
      </c>
      <c r="K85">
        <v>5.4161419000156457</v>
      </c>
    </row>
    <row r="86" spans="1:11" x14ac:dyDescent="0.35">
      <c r="A86">
        <v>70000</v>
      </c>
      <c r="B86">
        <v>0.63095734448019325</v>
      </c>
      <c r="C86">
        <v>7000</v>
      </c>
      <c r="D86">
        <v>100</v>
      </c>
      <c r="E86">
        <v>1040440</v>
      </c>
      <c r="F86">
        <v>361.74999999999989</v>
      </c>
      <c r="G86">
        <v>361.74999999999989</v>
      </c>
      <c r="H86">
        <v>48.222222222222207</v>
      </c>
      <c r="I86">
        <v>5.4138974000088638</v>
      </c>
      <c r="J86">
        <v>3.2538200000999502E-2</v>
      </c>
      <c r="K86">
        <v>5.4464356000098633</v>
      </c>
    </row>
    <row r="87" spans="1:11" x14ac:dyDescent="0.35">
      <c r="A87">
        <v>70000</v>
      </c>
      <c r="B87">
        <v>0.39810717055349731</v>
      </c>
      <c r="C87">
        <v>14000</v>
      </c>
      <c r="D87">
        <v>100</v>
      </c>
      <c r="E87">
        <v>1</v>
      </c>
      <c r="F87">
        <v>312.91666666666669</v>
      </c>
      <c r="G87">
        <v>309.58333333333331</v>
      </c>
      <c r="H87">
        <v>44.472222222222207</v>
      </c>
      <c r="I87">
        <v>5.5556666000047699</v>
      </c>
      <c r="J87">
        <v>6.095840000489261E-2</v>
      </c>
      <c r="K87">
        <v>5.6166250000096616</v>
      </c>
    </row>
    <row r="88" spans="1:11" x14ac:dyDescent="0.35">
      <c r="A88">
        <v>70000</v>
      </c>
      <c r="B88">
        <v>0.39810717055349731</v>
      </c>
      <c r="C88">
        <v>14000</v>
      </c>
      <c r="D88">
        <v>100</v>
      </c>
      <c r="E88">
        <v>9</v>
      </c>
      <c r="F88">
        <v>462.86111111111097</v>
      </c>
      <c r="G88">
        <v>462.86111111111097</v>
      </c>
      <c r="H88">
        <v>63.083333333333321</v>
      </c>
      <c r="I88">
        <v>5.4969440999993822</v>
      </c>
      <c r="J88">
        <v>3.3538100004079752E-2</v>
      </c>
      <c r="K88">
        <v>5.5304822000034619</v>
      </c>
    </row>
    <row r="89" spans="1:11" x14ac:dyDescent="0.35">
      <c r="A89">
        <v>70000</v>
      </c>
      <c r="B89">
        <v>0.39810717055349731</v>
      </c>
      <c r="C89">
        <v>14000</v>
      </c>
      <c r="D89">
        <v>100</v>
      </c>
      <c r="E89">
        <v>14</v>
      </c>
      <c r="F89">
        <v>267.25</v>
      </c>
      <c r="G89">
        <v>267.25</v>
      </c>
      <c r="H89">
        <v>42.416666666666657</v>
      </c>
      <c r="I89">
        <v>5.5430494000029276</v>
      </c>
      <c r="J89">
        <v>2.883049999945797E-2</v>
      </c>
      <c r="K89">
        <v>5.5718799000023864</v>
      </c>
    </row>
    <row r="90" spans="1:11" x14ac:dyDescent="0.35">
      <c r="A90">
        <v>70000</v>
      </c>
      <c r="B90">
        <v>0.39810717055349731</v>
      </c>
      <c r="C90">
        <v>14000</v>
      </c>
      <c r="D90">
        <v>100</v>
      </c>
      <c r="E90">
        <v>88</v>
      </c>
      <c r="F90">
        <v>254.80555555555549</v>
      </c>
      <c r="G90">
        <v>254.80555555555549</v>
      </c>
      <c r="H90">
        <v>40.194444444444443</v>
      </c>
      <c r="I90">
        <v>5.5352647999970941</v>
      </c>
      <c r="J90">
        <v>2.8083699988201261E-2</v>
      </c>
      <c r="K90">
        <v>5.5633484999852953</v>
      </c>
    </row>
    <row r="91" spans="1:11" x14ac:dyDescent="0.35">
      <c r="A91">
        <v>70000</v>
      </c>
      <c r="B91">
        <v>0.39810717055349731</v>
      </c>
      <c r="C91">
        <v>14000</v>
      </c>
      <c r="D91">
        <v>100</v>
      </c>
      <c r="E91">
        <v>1040440</v>
      </c>
      <c r="F91">
        <v>274.7777777777776</v>
      </c>
      <c r="G91">
        <v>274.7777777777776</v>
      </c>
      <c r="H91">
        <v>23.944444444444429</v>
      </c>
      <c r="I91">
        <v>5.5498572000069544</v>
      </c>
      <c r="J91">
        <v>3.514589999394957E-2</v>
      </c>
      <c r="K91">
        <v>5.5850031000009039</v>
      </c>
    </row>
    <row r="92" spans="1:11" x14ac:dyDescent="0.35">
      <c r="A92">
        <v>70000</v>
      </c>
      <c r="B92">
        <v>0.99344277847092743</v>
      </c>
      <c r="C92">
        <v>100</v>
      </c>
      <c r="D92">
        <v>120</v>
      </c>
      <c r="E92">
        <v>1</v>
      </c>
      <c r="F92">
        <v>481.11111111111131</v>
      </c>
      <c r="G92">
        <v>481.11111111111131</v>
      </c>
      <c r="H92">
        <v>63.861111111111128</v>
      </c>
      <c r="I92">
        <v>5.50435020000441</v>
      </c>
      <c r="J92">
        <v>3.038450000167359E-2</v>
      </c>
      <c r="K92">
        <v>5.5347347000060836</v>
      </c>
    </row>
    <row r="93" spans="1:11" x14ac:dyDescent="0.35">
      <c r="A93">
        <v>70000</v>
      </c>
      <c r="B93">
        <v>0.99344277847092743</v>
      </c>
      <c r="C93">
        <v>100</v>
      </c>
      <c r="D93">
        <v>120</v>
      </c>
      <c r="E93">
        <v>9</v>
      </c>
      <c r="F93">
        <v>372.16666666666657</v>
      </c>
      <c r="G93">
        <v>372.16666666666657</v>
      </c>
      <c r="H93">
        <v>57.361111111111107</v>
      </c>
      <c r="I93">
        <v>5.34080580000591</v>
      </c>
      <c r="J93">
        <v>3.1064299997524358E-2</v>
      </c>
      <c r="K93">
        <v>5.3718701000034343</v>
      </c>
    </row>
    <row r="94" spans="1:11" x14ac:dyDescent="0.35">
      <c r="A94">
        <v>70000</v>
      </c>
      <c r="B94">
        <v>0.99344277847092743</v>
      </c>
      <c r="C94">
        <v>100</v>
      </c>
      <c r="D94">
        <v>120</v>
      </c>
      <c r="E94">
        <v>14</v>
      </c>
      <c r="F94">
        <v>377.05555555555549</v>
      </c>
      <c r="G94">
        <v>377.05555555555549</v>
      </c>
      <c r="H94">
        <v>47.944444444444443</v>
      </c>
      <c r="I94">
        <v>5.4762394999997923</v>
      </c>
      <c r="J94">
        <v>2.757209999253973E-2</v>
      </c>
      <c r="K94">
        <v>5.503811599992332</v>
      </c>
    </row>
    <row r="95" spans="1:11" x14ac:dyDescent="0.35">
      <c r="A95">
        <v>70000</v>
      </c>
      <c r="B95">
        <v>0.99344277847092743</v>
      </c>
      <c r="C95">
        <v>100</v>
      </c>
      <c r="D95">
        <v>120</v>
      </c>
      <c r="E95">
        <v>88</v>
      </c>
      <c r="F95">
        <v>292.27777777777789</v>
      </c>
      <c r="G95">
        <v>292.27777777777789</v>
      </c>
      <c r="H95">
        <v>43.861111111111128</v>
      </c>
      <c r="I95">
        <v>5.3794640999985859</v>
      </c>
      <c r="J95">
        <v>2.5375600002007559E-2</v>
      </c>
      <c r="K95">
        <v>5.4048397000005934</v>
      </c>
    </row>
    <row r="96" spans="1:11" x14ac:dyDescent="0.35">
      <c r="A96">
        <v>70000</v>
      </c>
      <c r="B96">
        <v>0.99344277847092743</v>
      </c>
      <c r="C96">
        <v>100</v>
      </c>
      <c r="D96">
        <v>120</v>
      </c>
      <c r="E96">
        <v>1040440</v>
      </c>
      <c r="F96">
        <v>257.25</v>
      </c>
      <c r="G96">
        <v>257.25</v>
      </c>
      <c r="H96">
        <v>40.416666666666657</v>
      </c>
      <c r="I96">
        <v>5.36940599999798</v>
      </c>
      <c r="J96">
        <v>3.0148499994538721E-2</v>
      </c>
      <c r="K96">
        <v>5.3995544999925187</v>
      </c>
    </row>
    <row r="97" spans="1:11" x14ac:dyDescent="0.35">
      <c r="A97">
        <v>70000</v>
      </c>
      <c r="B97">
        <v>0.954992586021436</v>
      </c>
      <c r="C97">
        <v>700</v>
      </c>
      <c r="D97">
        <v>120</v>
      </c>
      <c r="E97">
        <v>1</v>
      </c>
      <c r="F97">
        <v>397.94444444444417</v>
      </c>
      <c r="G97">
        <v>397.94444444444417</v>
      </c>
      <c r="H97">
        <v>54.222222222222193</v>
      </c>
      <c r="I97">
        <v>5.5023755000001984</v>
      </c>
      <c r="J97">
        <v>2.6215799996862191E-2</v>
      </c>
      <c r="K97">
        <v>5.5285912999970606</v>
      </c>
    </row>
    <row r="98" spans="1:11" x14ac:dyDescent="0.35">
      <c r="A98">
        <v>70000</v>
      </c>
      <c r="B98">
        <v>0.954992586021436</v>
      </c>
      <c r="C98">
        <v>700</v>
      </c>
      <c r="D98">
        <v>120</v>
      </c>
      <c r="E98">
        <v>9</v>
      </c>
      <c r="F98">
        <v>374.66666666666657</v>
      </c>
      <c r="G98">
        <v>374.66666666666657</v>
      </c>
      <c r="H98">
        <v>49.749999999999993</v>
      </c>
      <c r="I98">
        <v>5.4360747000027914</v>
      </c>
      <c r="J98">
        <v>3.7528900007600903E-2</v>
      </c>
      <c r="K98">
        <v>5.4736036000103923</v>
      </c>
    </row>
    <row r="99" spans="1:11" x14ac:dyDescent="0.35">
      <c r="A99">
        <v>70000</v>
      </c>
      <c r="B99">
        <v>0.954992586021436</v>
      </c>
      <c r="C99">
        <v>700</v>
      </c>
      <c r="D99">
        <v>120</v>
      </c>
      <c r="E99">
        <v>14</v>
      </c>
      <c r="F99">
        <v>205</v>
      </c>
      <c r="G99">
        <v>205</v>
      </c>
      <c r="H99">
        <v>33.583333333333343</v>
      </c>
      <c r="I99">
        <v>5.4692164000007324</v>
      </c>
      <c r="J99">
        <v>3.2144600001629442E-2</v>
      </c>
      <c r="K99">
        <v>5.5013610000023618</v>
      </c>
    </row>
    <row r="100" spans="1:11" x14ac:dyDescent="0.35">
      <c r="A100">
        <v>70000</v>
      </c>
      <c r="B100">
        <v>0.954992586021436</v>
      </c>
      <c r="C100">
        <v>700</v>
      </c>
      <c r="D100">
        <v>120</v>
      </c>
      <c r="E100">
        <v>88</v>
      </c>
      <c r="F100">
        <v>256.91666666666657</v>
      </c>
      <c r="G100">
        <v>256.91666666666657</v>
      </c>
      <c r="H100">
        <v>40.416666666666657</v>
      </c>
      <c r="I100">
        <v>5.4611027000064496</v>
      </c>
      <c r="J100">
        <v>2.7143799990881231E-2</v>
      </c>
      <c r="K100">
        <v>5.4882464999973308</v>
      </c>
    </row>
    <row r="101" spans="1:11" x14ac:dyDescent="0.35">
      <c r="A101">
        <v>70000</v>
      </c>
      <c r="B101">
        <v>0.954992586021436</v>
      </c>
      <c r="C101">
        <v>700</v>
      </c>
      <c r="D101">
        <v>120</v>
      </c>
      <c r="E101">
        <v>1040440</v>
      </c>
      <c r="F101">
        <v>437.33333333333348</v>
      </c>
      <c r="G101">
        <v>437.33333333333348</v>
      </c>
      <c r="H101">
        <v>61.944444444444457</v>
      </c>
      <c r="I101">
        <v>5.501045900004101</v>
      </c>
      <c r="J101">
        <v>2.709210000466555E-2</v>
      </c>
      <c r="K101">
        <v>5.5281380000087674</v>
      </c>
    </row>
    <row r="102" spans="1:11" x14ac:dyDescent="0.35">
      <c r="A102">
        <v>70000</v>
      </c>
      <c r="B102">
        <v>0.93632920882394144</v>
      </c>
      <c r="C102">
        <v>1000</v>
      </c>
      <c r="D102">
        <v>120</v>
      </c>
      <c r="E102">
        <v>1</v>
      </c>
      <c r="F102">
        <v>409.1666666666668</v>
      </c>
      <c r="G102">
        <v>409.1666666666668</v>
      </c>
      <c r="H102">
        <v>52.638888888888893</v>
      </c>
      <c r="I102">
        <v>5.3791353999986313</v>
      </c>
      <c r="J102">
        <v>3.4483999988879077E-2</v>
      </c>
      <c r="K102">
        <v>5.4136193999875104</v>
      </c>
    </row>
    <row r="103" spans="1:11" x14ac:dyDescent="0.35">
      <c r="A103">
        <v>70000</v>
      </c>
      <c r="B103">
        <v>0.93632920882394144</v>
      </c>
      <c r="C103">
        <v>1000</v>
      </c>
      <c r="D103">
        <v>120</v>
      </c>
      <c r="E103">
        <v>9</v>
      </c>
      <c r="F103">
        <v>379.02777777777771</v>
      </c>
      <c r="G103">
        <v>378.19444444444451</v>
      </c>
      <c r="H103">
        <v>54.05555555555555</v>
      </c>
      <c r="I103">
        <v>5.5664535999967484</v>
      </c>
      <c r="J103">
        <v>5.0720900006126612E-2</v>
      </c>
      <c r="K103">
        <v>5.617174500002875</v>
      </c>
    </row>
    <row r="104" spans="1:11" x14ac:dyDescent="0.35">
      <c r="A104">
        <v>70000</v>
      </c>
      <c r="B104">
        <v>0.93632920882394144</v>
      </c>
      <c r="C104">
        <v>1000</v>
      </c>
      <c r="D104">
        <v>120</v>
      </c>
      <c r="E104">
        <v>14</v>
      </c>
      <c r="F104">
        <v>384.86111111111097</v>
      </c>
      <c r="G104">
        <v>384.86111111111097</v>
      </c>
      <c r="H104">
        <v>41.722222222222207</v>
      </c>
      <c r="I104">
        <v>5.5068263000139268</v>
      </c>
      <c r="J104">
        <v>2.806880000571255E-2</v>
      </c>
      <c r="K104">
        <v>5.5348951000196394</v>
      </c>
    </row>
    <row r="105" spans="1:11" x14ac:dyDescent="0.35">
      <c r="A105">
        <v>70000</v>
      </c>
      <c r="B105">
        <v>0.93632920882394144</v>
      </c>
      <c r="C105">
        <v>1000</v>
      </c>
      <c r="D105">
        <v>120</v>
      </c>
      <c r="E105">
        <v>88</v>
      </c>
      <c r="F105">
        <v>314.88888888888891</v>
      </c>
      <c r="G105">
        <v>314.88888888888891</v>
      </c>
      <c r="H105">
        <v>29.444444444444439</v>
      </c>
      <c r="I105">
        <v>5.5069269999949029</v>
      </c>
      <c r="J105">
        <v>2.668519999133423E-2</v>
      </c>
      <c r="K105">
        <v>5.5336121999862371</v>
      </c>
    </row>
    <row r="106" spans="1:11" x14ac:dyDescent="0.35">
      <c r="A106">
        <v>70000</v>
      </c>
      <c r="B106">
        <v>0.93632920882394144</v>
      </c>
      <c r="C106">
        <v>1000</v>
      </c>
      <c r="D106">
        <v>120</v>
      </c>
      <c r="E106">
        <v>1040440</v>
      </c>
      <c r="F106">
        <v>414.5833333333328</v>
      </c>
      <c r="G106">
        <v>414.5833333333328</v>
      </c>
      <c r="H106">
        <v>56.833333333333279</v>
      </c>
      <c r="I106">
        <v>5.4891445999965072</v>
      </c>
      <c r="J106">
        <v>2.930910000577569E-2</v>
      </c>
      <c r="K106">
        <v>5.5184537000022829</v>
      </c>
    </row>
    <row r="107" spans="1:11" x14ac:dyDescent="0.35">
      <c r="A107">
        <v>70000</v>
      </c>
      <c r="B107">
        <v>0.91201083935590976</v>
      </c>
      <c r="C107">
        <v>1400</v>
      </c>
      <c r="D107">
        <v>120</v>
      </c>
      <c r="E107">
        <v>1</v>
      </c>
      <c r="F107">
        <v>518.72222222222229</v>
      </c>
      <c r="G107">
        <v>247.00000000000011</v>
      </c>
      <c r="H107">
        <v>28.166666666666671</v>
      </c>
      <c r="I107">
        <v>5.5260400000115624</v>
      </c>
      <c r="J107">
        <v>0.21055249999335501</v>
      </c>
      <c r="K107">
        <v>5.7365925000049174</v>
      </c>
    </row>
    <row r="108" spans="1:11" x14ac:dyDescent="0.35">
      <c r="A108">
        <v>70000</v>
      </c>
      <c r="B108">
        <v>0.91201083935590976</v>
      </c>
      <c r="C108">
        <v>1400</v>
      </c>
      <c r="D108">
        <v>120</v>
      </c>
      <c r="E108">
        <v>9</v>
      </c>
      <c r="F108">
        <v>298.11111111111109</v>
      </c>
      <c r="G108">
        <v>298.11111111111109</v>
      </c>
      <c r="H108">
        <v>43.944444444444443</v>
      </c>
      <c r="I108">
        <v>5.4700385999894934</v>
      </c>
      <c r="J108">
        <v>2.73587999981828E-2</v>
      </c>
      <c r="K108">
        <v>5.4973973999876762</v>
      </c>
    </row>
    <row r="109" spans="1:11" x14ac:dyDescent="0.35">
      <c r="A109">
        <v>70000</v>
      </c>
      <c r="B109">
        <v>0.91201083935590976</v>
      </c>
      <c r="C109">
        <v>1400</v>
      </c>
      <c r="D109">
        <v>120</v>
      </c>
      <c r="E109">
        <v>14</v>
      </c>
      <c r="F109">
        <v>340.44444444444451</v>
      </c>
      <c r="G109">
        <v>340.44444444444451</v>
      </c>
      <c r="H109">
        <v>47.500000000000007</v>
      </c>
      <c r="I109">
        <v>5.4712491999962367</v>
      </c>
      <c r="J109">
        <v>2.7580699999816719E-2</v>
      </c>
      <c r="K109">
        <v>5.4988298999960534</v>
      </c>
    </row>
    <row r="110" spans="1:11" x14ac:dyDescent="0.35">
      <c r="A110">
        <v>70000</v>
      </c>
      <c r="B110">
        <v>0.91201083935590976</v>
      </c>
      <c r="C110">
        <v>1400</v>
      </c>
      <c r="D110">
        <v>120</v>
      </c>
      <c r="E110">
        <v>88</v>
      </c>
      <c r="F110">
        <v>331.22222222222211</v>
      </c>
      <c r="G110">
        <v>331.22222222222211</v>
      </c>
      <c r="H110">
        <v>49.194444444444429</v>
      </c>
      <c r="I110">
        <v>5.548314699990442</v>
      </c>
      <c r="J110">
        <v>4.2214200002490543E-2</v>
      </c>
      <c r="K110">
        <v>5.5905288999929326</v>
      </c>
    </row>
    <row r="111" spans="1:11" x14ac:dyDescent="0.35">
      <c r="A111">
        <v>70000</v>
      </c>
      <c r="B111">
        <v>0.91201083935590976</v>
      </c>
      <c r="C111">
        <v>1400</v>
      </c>
      <c r="D111">
        <v>120</v>
      </c>
      <c r="E111">
        <v>1040440</v>
      </c>
      <c r="F111">
        <v>219.3333333333332</v>
      </c>
      <c r="G111">
        <v>205.8333333333332</v>
      </c>
      <c r="H111">
        <v>32.972222222222207</v>
      </c>
      <c r="I111">
        <v>5.4197800999972969</v>
      </c>
      <c r="J111">
        <v>7.4096399999689311E-2</v>
      </c>
      <c r="K111">
        <v>5.4938764999969862</v>
      </c>
    </row>
    <row r="112" spans="1:11" x14ac:dyDescent="0.35">
      <c r="A112">
        <v>70000</v>
      </c>
      <c r="B112">
        <v>0.63095734448019325</v>
      </c>
      <c r="C112">
        <v>7000</v>
      </c>
      <c r="D112">
        <v>120</v>
      </c>
      <c r="E112">
        <v>1</v>
      </c>
      <c r="F112">
        <v>420.77777777777789</v>
      </c>
      <c r="G112">
        <v>420.77777777777789</v>
      </c>
      <c r="H112">
        <v>61.166666666666679</v>
      </c>
      <c r="I112">
        <v>5.3677195999916876</v>
      </c>
      <c r="J112">
        <v>2.758670000184793E-2</v>
      </c>
      <c r="K112">
        <v>5.3953062999935364</v>
      </c>
    </row>
    <row r="113" spans="1:11" x14ac:dyDescent="0.35">
      <c r="A113">
        <v>70000</v>
      </c>
      <c r="B113">
        <v>0.63095734448019325</v>
      </c>
      <c r="C113">
        <v>7000</v>
      </c>
      <c r="D113">
        <v>120</v>
      </c>
      <c r="E113">
        <v>9</v>
      </c>
      <c r="F113">
        <v>340.33333333333343</v>
      </c>
      <c r="G113">
        <v>340.33333333333343</v>
      </c>
      <c r="H113">
        <v>36.083333333333343</v>
      </c>
      <c r="I113">
        <v>5.6102973999950336</v>
      </c>
      <c r="J113">
        <v>4.9946099999942817E-2</v>
      </c>
      <c r="K113">
        <v>5.6602434999949756</v>
      </c>
    </row>
    <row r="114" spans="1:11" x14ac:dyDescent="0.35">
      <c r="A114">
        <v>70000</v>
      </c>
      <c r="B114">
        <v>0.63095734448019325</v>
      </c>
      <c r="C114">
        <v>7000</v>
      </c>
      <c r="D114">
        <v>120</v>
      </c>
      <c r="E114">
        <v>14</v>
      </c>
      <c r="F114">
        <v>290.83333333333343</v>
      </c>
      <c r="G114">
        <v>271.16666666666657</v>
      </c>
      <c r="H114">
        <v>42.416666666666657</v>
      </c>
      <c r="I114">
        <v>5.5326554000057513</v>
      </c>
      <c r="J114">
        <v>0.11280760000227021</v>
      </c>
      <c r="K114">
        <v>5.6454630000080206</v>
      </c>
    </row>
    <row r="115" spans="1:11" x14ac:dyDescent="0.35">
      <c r="A115">
        <v>70000</v>
      </c>
      <c r="B115">
        <v>0.63095734448019325</v>
      </c>
      <c r="C115">
        <v>7000</v>
      </c>
      <c r="D115">
        <v>120</v>
      </c>
      <c r="E115">
        <v>88</v>
      </c>
      <c r="F115">
        <v>364.30555555555549</v>
      </c>
      <c r="G115">
        <v>364.30555555555549</v>
      </c>
      <c r="H115">
        <v>49.972222222222221</v>
      </c>
      <c r="I115">
        <v>5.5537618999951519</v>
      </c>
      <c r="J115">
        <v>3.089090000139549E-2</v>
      </c>
      <c r="K115">
        <v>5.5846527999965474</v>
      </c>
    </row>
    <row r="116" spans="1:11" x14ac:dyDescent="0.35">
      <c r="A116">
        <v>70000</v>
      </c>
      <c r="B116">
        <v>0.63095734448019325</v>
      </c>
      <c r="C116">
        <v>7000</v>
      </c>
      <c r="D116">
        <v>120</v>
      </c>
      <c r="E116">
        <v>1040440</v>
      </c>
      <c r="F116">
        <v>414.47222222222229</v>
      </c>
      <c r="G116">
        <v>414.47222222222229</v>
      </c>
      <c r="H116">
        <v>56.805555555555571</v>
      </c>
      <c r="I116">
        <v>5.5419300999928964</v>
      </c>
      <c r="J116">
        <v>3.3590399994864129E-2</v>
      </c>
      <c r="K116">
        <v>5.5755204999877606</v>
      </c>
    </row>
    <row r="117" spans="1:11" x14ac:dyDescent="0.35">
      <c r="A117">
        <v>70000</v>
      </c>
      <c r="B117">
        <v>0.39810717055349731</v>
      </c>
      <c r="C117">
        <v>14000</v>
      </c>
      <c r="D117">
        <v>120</v>
      </c>
      <c r="E117">
        <v>1</v>
      </c>
      <c r="F117">
        <v>298.05555555555549</v>
      </c>
      <c r="G117">
        <v>298.05555555555549</v>
      </c>
      <c r="H117">
        <v>45.972222222222207</v>
      </c>
      <c r="I117">
        <v>5.5709971000032974</v>
      </c>
      <c r="J117">
        <v>2.9964999994263049E-2</v>
      </c>
      <c r="K117">
        <v>5.6009620999975596</v>
      </c>
    </row>
    <row r="118" spans="1:11" x14ac:dyDescent="0.35">
      <c r="A118">
        <v>70000</v>
      </c>
      <c r="B118">
        <v>0.39810717055349731</v>
      </c>
      <c r="C118">
        <v>14000</v>
      </c>
      <c r="D118">
        <v>120</v>
      </c>
      <c r="E118">
        <v>9</v>
      </c>
      <c r="F118">
        <v>286.16666666666691</v>
      </c>
      <c r="G118">
        <v>286.16666666666691</v>
      </c>
      <c r="H118">
        <v>41.305555555555571</v>
      </c>
      <c r="I118">
        <v>5.5856880000064848</v>
      </c>
      <c r="J118">
        <v>2.595129999099299E-2</v>
      </c>
      <c r="K118">
        <v>5.6116392999974778</v>
      </c>
    </row>
    <row r="119" spans="1:11" x14ac:dyDescent="0.35">
      <c r="A119">
        <v>70000</v>
      </c>
      <c r="B119">
        <v>0.39810717055349731</v>
      </c>
      <c r="C119">
        <v>14000</v>
      </c>
      <c r="D119">
        <v>120</v>
      </c>
      <c r="E119">
        <v>14</v>
      </c>
      <c r="F119">
        <v>329.33333333333348</v>
      </c>
      <c r="G119">
        <v>307.16666666666669</v>
      </c>
      <c r="H119">
        <v>45.583333333333343</v>
      </c>
      <c r="I119">
        <v>5.5380371999926874</v>
      </c>
      <c r="J119">
        <v>5.7933500007493421E-2</v>
      </c>
      <c r="K119">
        <v>5.5959707000001799</v>
      </c>
    </row>
    <row r="120" spans="1:11" x14ac:dyDescent="0.35">
      <c r="A120">
        <v>70000</v>
      </c>
      <c r="B120">
        <v>0.39810717055349731</v>
      </c>
      <c r="C120">
        <v>14000</v>
      </c>
      <c r="D120">
        <v>120</v>
      </c>
      <c r="E120">
        <v>88</v>
      </c>
      <c r="F120">
        <v>265.24999999999989</v>
      </c>
      <c r="G120">
        <v>265.24999999999989</v>
      </c>
      <c r="H120">
        <v>40.416666666666657</v>
      </c>
      <c r="I120">
        <v>5.5858838999993168</v>
      </c>
      <c r="J120">
        <v>3.0624899998656471E-2</v>
      </c>
      <c r="K120">
        <v>5.6165087999979733</v>
      </c>
    </row>
    <row r="121" spans="1:11" x14ac:dyDescent="0.35">
      <c r="A121">
        <v>70000</v>
      </c>
      <c r="B121">
        <v>0.39810717055349731</v>
      </c>
      <c r="C121">
        <v>14000</v>
      </c>
      <c r="D121">
        <v>120</v>
      </c>
      <c r="E121">
        <v>1040440</v>
      </c>
      <c r="F121">
        <v>372.9444444444444</v>
      </c>
      <c r="G121">
        <v>372.9444444444444</v>
      </c>
      <c r="H121">
        <v>54.583333333333329</v>
      </c>
      <c r="I121">
        <v>5.625607999987551</v>
      </c>
      <c r="J121">
        <v>2.980370000295807E-2</v>
      </c>
      <c r="K121">
        <v>5.6554116999905091</v>
      </c>
    </row>
    <row r="122" spans="1:11" x14ac:dyDescent="0.35">
      <c r="A122">
        <v>70000</v>
      </c>
      <c r="B122">
        <v>0.99344277847092743</v>
      </c>
      <c r="C122">
        <v>100</v>
      </c>
      <c r="D122">
        <v>150</v>
      </c>
      <c r="E122">
        <v>1</v>
      </c>
      <c r="F122">
        <v>374.36111111111097</v>
      </c>
      <c r="G122">
        <v>374.36111111111097</v>
      </c>
      <c r="H122">
        <v>53.805555555555543</v>
      </c>
      <c r="I122">
        <v>5.3974273999920106</v>
      </c>
      <c r="J122">
        <v>3.121690000989474E-2</v>
      </c>
      <c r="K122">
        <v>5.4286443000019062</v>
      </c>
    </row>
    <row r="123" spans="1:11" x14ac:dyDescent="0.35">
      <c r="A123">
        <v>70000</v>
      </c>
      <c r="B123">
        <v>0.99344277847092743</v>
      </c>
      <c r="C123">
        <v>100</v>
      </c>
      <c r="D123">
        <v>150</v>
      </c>
      <c r="E123">
        <v>9</v>
      </c>
      <c r="F123">
        <v>400.02777777777749</v>
      </c>
      <c r="G123">
        <v>400.02777777777749</v>
      </c>
      <c r="H123">
        <v>59.222222222222193</v>
      </c>
      <c r="I123">
        <v>5.3931317999958992</v>
      </c>
      <c r="J123">
        <v>2.7437900003860701E-2</v>
      </c>
      <c r="K123">
        <v>5.4205696999997599</v>
      </c>
    </row>
    <row r="124" spans="1:11" x14ac:dyDescent="0.35">
      <c r="A124">
        <v>70000</v>
      </c>
      <c r="B124">
        <v>0.99344277847092743</v>
      </c>
      <c r="C124">
        <v>100</v>
      </c>
      <c r="D124">
        <v>150</v>
      </c>
      <c r="E124">
        <v>14</v>
      </c>
      <c r="F124">
        <v>414.88888888888903</v>
      </c>
      <c r="G124">
        <v>414.88888888888903</v>
      </c>
      <c r="H124">
        <v>57.277777777777793</v>
      </c>
      <c r="I124">
        <v>5.3715187999914633</v>
      </c>
      <c r="J124">
        <v>2.7062099994509481E-2</v>
      </c>
      <c r="K124">
        <v>5.3985808999859728</v>
      </c>
    </row>
    <row r="125" spans="1:11" x14ac:dyDescent="0.35">
      <c r="A125">
        <v>70000</v>
      </c>
      <c r="B125">
        <v>0.99344277847092743</v>
      </c>
      <c r="C125">
        <v>100</v>
      </c>
      <c r="D125">
        <v>150</v>
      </c>
      <c r="E125">
        <v>88</v>
      </c>
      <c r="F125">
        <v>284.41666666666629</v>
      </c>
      <c r="G125">
        <v>284.41666666666629</v>
      </c>
      <c r="H125">
        <v>41.527777777777743</v>
      </c>
      <c r="I125">
        <v>5.3489878999971552</v>
      </c>
      <c r="J125">
        <v>3.9608699997188523E-2</v>
      </c>
      <c r="K125">
        <v>5.3885965999943437</v>
      </c>
    </row>
    <row r="126" spans="1:11" x14ac:dyDescent="0.35">
      <c r="A126">
        <v>70000</v>
      </c>
      <c r="B126">
        <v>0.99344277847092743</v>
      </c>
      <c r="C126">
        <v>100</v>
      </c>
      <c r="D126">
        <v>150</v>
      </c>
      <c r="E126">
        <v>1040440</v>
      </c>
      <c r="F126">
        <v>348.16666666666657</v>
      </c>
      <c r="G126">
        <v>314.8333333333332</v>
      </c>
      <c r="H126">
        <v>45.444444444444429</v>
      </c>
      <c r="I126">
        <v>5.4573396000050707</v>
      </c>
      <c r="J126">
        <v>5.6184400003985502E-2</v>
      </c>
      <c r="K126">
        <v>5.5135240000090562</v>
      </c>
    </row>
    <row r="127" spans="1:11" x14ac:dyDescent="0.35">
      <c r="A127">
        <v>70000</v>
      </c>
      <c r="B127">
        <v>0.954992586021436</v>
      </c>
      <c r="C127">
        <v>700</v>
      </c>
      <c r="D127">
        <v>150</v>
      </c>
      <c r="E127">
        <v>1</v>
      </c>
      <c r="F127">
        <v>328.55555555555549</v>
      </c>
      <c r="G127">
        <v>328.55555555555549</v>
      </c>
      <c r="H127">
        <v>46.249999999999993</v>
      </c>
      <c r="I127">
        <v>5.6680976000061492</v>
      </c>
      <c r="J127">
        <v>2.7668800001265481E-2</v>
      </c>
      <c r="K127">
        <v>5.6957664000074146</v>
      </c>
    </row>
    <row r="128" spans="1:11" x14ac:dyDescent="0.35">
      <c r="A128">
        <v>70000</v>
      </c>
      <c r="B128">
        <v>0.954992586021436</v>
      </c>
      <c r="C128">
        <v>700</v>
      </c>
      <c r="D128">
        <v>150</v>
      </c>
      <c r="E128">
        <v>9</v>
      </c>
      <c r="F128">
        <v>389.44444444444429</v>
      </c>
      <c r="G128">
        <v>389.44444444444429</v>
      </c>
      <c r="H128">
        <v>37.8611111111111</v>
      </c>
      <c r="I128">
        <v>5.578463500001817</v>
      </c>
      <c r="J128">
        <v>2.9562100011389699E-2</v>
      </c>
      <c r="K128">
        <v>5.6080256000132067</v>
      </c>
    </row>
    <row r="129" spans="1:11" x14ac:dyDescent="0.35">
      <c r="A129">
        <v>70000</v>
      </c>
      <c r="B129">
        <v>0.954992586021436</v>
      </c>
      <c r="C129">
        <v>700</v>
      </c>
      <c r="D129">
        <v>150</v>
      </c>
      <c r="E129">
        <v>14</v>
      </c>
      <c r="F129">
        <v>637.22222222222229</v>
      </c>
      <c r="G129">
        <v>478.80555555555537</v>
      </c>
      <c r="H129">
        <v>62.555555555555543</v>
      </c>
      <c r="I129">
        <v>5.542837499990128</v>
      </c>
      <c r="J129">
        <v>0.24763620000157971</v>
      </c>
      <c r="K129">
        <v>5.7904736999917077</v>
      </c>
    </row>
    <row r="130" spans="1:11" x14ac:dyDescent="0.35">
      <c r="A130">
        <v>70000</v>
      </c>
      <c r="B130">
        <v>0.954992586021436</v>
      </c>
      <c r="C130">
        <v>700</v>
      </c>
      <c r="D130">
        <v>150</v>
      </c>
      <c r="E130">
        <v>88</v>
      </c>
      <c r="F130">
        <v>301.63888888888891</v>
      </c>
      <c r="G130">
        <v>301.63888888888891</v>
      </c>
      <c r="H130">
        <v>45.888888888888893</v>
      </c>
      <c r="I130">
        <v>5.4614274999912604</v>
      </c>
      <c r="J130">
        <v>2.8471300000092011E-2</v>
      </c>
      <c r="K130">
        <v>5.4898987999913524</v>
      </c>
    </row>
    <row r="131" spans="1:11" x14ac:dyDescent="0.35">
      <c r="A131">
        <v>70000</v>
      </c>
      <c r="B131">
        <v>0.954992586021436</v>
      </c>
      <c r="C131">
        <v>700</v>
      </c>
      <c r="D131">
        <v>150</v>
      </c>
      <c r="E131">
        <v>1040440</v>
      </c>
      <c r="F131">
        <v>263.72222222222211</v>
      </c>
      <c r="G131">
        <v>263.72222222222211</v>
      </c>
      <c r="H131">
        <v>37.749999999999993</v>
      </c>
      <c r="I131">
        <v>5.5630694999999832</v>
      </c>
      <c r="J131">
        <v>3.1466300002648502E-2</v>
      </c>
      <c r="K131">
        <v>5.5945358000026317</v>
      </c>
    </row>
    <row r="132" spans="1:11" x14ac:dyDescent="0.35">
      <c r="A132">
        <v>70000</v>
      </c>
      <c r="B132">
        <v>0.93632920882394144</v>
      </c>
      <c r="C132">
        <v>1000</v>
      </c>
      <c r="D132">
        <v>150</v>
      </c>
      <c r="E132">
        <v>1</v>
      </c>
      <c r="F132">
        <v>349.66666666666669</v>
      </c>
      <c r="G132">
        <v>349.66666666666669</v>
      </c>
      <c r="H132">
        <v>38.75</v>
      </c>
      <c r="I132">
        <v>5.5152866000134964</v>
      </c>
      <c r="J132">
        <v>3.1677399994805462E-2</v>
      </c>
      <c r="K132">
        <v>5.5469640000083018</v>
      </c>
    </row>
    <row r="133" spans="1:11" x14ac:dyDescent="0.35">
      <c r="A133">
        <v>70000</v>
      </c>
      <c r="B133">
        <v>0.93632920882394144</v>
      </c>
      <c r="C133">
        <v>1000</v>
      </c>
      <c r="D133">
        <v>150</v>
      </c>
      <c r="E133">
        <v>9</v>
      </c>
      <c r="F133">
        <v>423.55555555555537</v>
      </c>
      <c r="G133">
        <v>423.55555555555537</v>
      </c>
      <c r="H133">
        <v>49.333333333333321</v>
      </c>
      <c r="I133">
        <v>5.4599152000009781</v>
      </c>
      <c r="J133">
        <v>3.0959199997596439E-2</v>
      </c>
      <c r="K133">
        <v>5.4908743999985754</v>
      </c>
    </row>
    <row r="134" spans="1:11" x14ac:dyDescent="0.35">
      <c r="A134">
        <v>70000</v>
      </c>
      <c r="B134">
        <v>0.93632920882394144</v>
      </c>
      <c r="C134">
        <v>1000</v>
      </c>
      <c r="D134">
        <v>150</v>
      </c>
      <c r="E134">
        <v>14</v>
      </c>
      <c r="F134">
        <v>358.16666666666657</v>
      </c>
      <c r="G134">
        <v>358.16666666666657</v>
      </c>
      <c r="H134">
        <v>53.638888888888879</v>
      </c>
      <c r="I134">
        <v>5.5624940999987302</v>
      </c>
      <c r="J134">
        <v>2.9875099993660111E-2</v>
      </c>
      <c r="K134">
        <v>5.5923691999923903</v>
      </c>
    </row>
    <row r="135" spans="1:11" x14ac:dyDescent="0.35">
      <c r="A135">
        <v>70000</v>
      </c>
      <c r="B135">
        <v>0.93632920882394144</v>
      </c>
      <c r="C135">
        <v>1000</v>
      </c>
      <c r="D135">
        <v>150</v>
      </c>
      <c r="E135">
        <v>88</v>
      </c>
      <c r="F135">
        <v>374.83333333333309</v>
      </c>
      <c r="G135">
        <v>374.83333333333309</v>
      </c>
      <c r="H135">
        <v>55.166666666666643</v>
      </c>
      <c r="I135">
        <v>5.5880003000056604</v>
      </c>
      <c r="J135">
        <v>4.4353599994792603E-2</v>
      </c>
      <c r="K135">
        <v>5.632353900000453</v>
      </c>
    </row>
    <row r="136" spans="1:11" x14ac:dyDescent="0.35">
      <c r="A136">
        <v>70000</v>
      </c>
      <c r="B136">
        <v>0.93632920882394144</v>
      </c>
      <c r="C136">
        <v>1000</v>
      </c>
      <c r="D136">
        <v>150</v>
      </c>
      <c r="E136">
        <v>1040440</v>
      </c>
      <c r="F136">
        <v>352.33333333333343</v>
      </c>
      <c r="G136">
        <v>352.33333333333343</v>
      </c>
      <c r="H136">
        <v>42.44444444444445</v>
      </c>
      <c r="I136">
        <v>5.340466199995717</v>
      </c>
      <c r="J136">
        <v>3.046909999102354E-2</v>
      </c>
      <c r="K136">
        <v>5.3709352999867406</v>
      </c>
    </row>
    <row r="137" spans="1:11" x14ac:dyDescent="0.35">
      <c r="A137">
        <v>70000</v>
      </c>
      <c r="B137">
        <v>0.91201083935590976</v>
      </c>
      <c r="C137">
        <v>1400</v>
      </c>
      <c r="D137">
        <v>150</v>
      </c>
      <c r="E137">
        <v>1</v>
      </c>
      <c r="F137">
        <v>469.36111111111109</v>
      </c>
      <c r="G137">
        <v>469.36111111111109</v>
      </c>
      <c r="H137">
        <v>60.05555555555555</v>
      </c>
      <c r="I137">
        <v>5.6002976999880048</v>
      </c>
      <c r="J137">
        <v>3.1219600001350049E-2</v>
      </c>
      <c r="K137">
        <v>5.6315172999893548</v>
      </c>
    </row>
    <row r="138" spans="1:11" x14ac:dyDescent="0.35">
      <c r="A138">
        <v>70000</v>
      </c>
      <c r="B138">
        <v>0.91201083935590976</v>
      </c>
      <c r="C138">
        <v>1400</v>
      </c>
      <c r="D138">
        <v>150</v>
      </c>
      <c r="E138">
        <v>9</v>
      </c>
      <c r="F138">
        <v>290.2222222222224</v>
      </c>
      <c r="G138">
        <v>270.22222222222211</v>
      </c>
      <c r="H138">
        <v>43.305555555555543</v>
      </c>
      <c r="I138">
        <v>5.4197501000016928</v>
      </c>
      <c r="J138">
        <v>0.1238895999995293</v>
      </c>
      <c r="K138">
        <v>5.5436397000012221</v>
      </c>
    </row>
    <row r="139" spans="1:11" x14ac:dyDescent="0.35">
      <c r="A139">
        <v>70000</v>
      </c>
      <c r="B139">
        <v>0.91201083935590976</v>
      </c>
      <c r="C139">
        <v>1400</v>
      </c>
      <c r="D139">
        <v>150</v>
      </c>
      <c r="E139">
        <v>14</v>
      </c>
      <c r="F139">
        <v>661.66666666666652</v>
      </c>
      <c r="G139">
        <v>661.66666666666652</v>
      </c>
      <c r="H139">
        <v>83.7222222222222</v>
      </c>
      <c r="I139">
        <v>5.5803589999995893</v>
      </c>
      <c r="J139">
        <v>3.7637700006598607E-2</v>
      </c>
      <c r="K139">
        <v>5.6179967000061879</v>
      </c>
    </row>
    <row r="140" spans="1:11" x14ac:dyDescent="0.35">
      <c r="A140">
        <v>70000</v>
      </c>
      <c r="B140">
        <v>0.91201083935590976</v>
      </c>
      <c r="C140">
        <v>1400</v>
      </c>
      <c r="D140">
        <v>150</v>
      </c>
      <c r="E140">
        <v>88</v>
      </c>
      <c r="F140">
        <v>356.02777777777749</v>
      </c>
      <c r="G140">
        <v>356.02777777777749</v>
      </c>
      <c r="H140">
        <v>54.249999999999957</v>
      </c>
      <c r="I140">
        <v>5.498284599991166</v>
      </c>
      <c r="J140">
        <v>2.8893399998196401E-2</v>
      </c>
      <c r="K140">
        <v>5.5271779999893624</v>
      </c>
    </row>
    <row r="141" spans="1:11" x14ac:dyDescent="0.35">
      <c r="A141">
        <v>70000</v>
      </c>
      <c r="B141">
        <v>0.91201083935590976</v>
      </c>
      <c r="C141">
        <v>1400</v>
      </c>
      <c r="D141">
        <v>150</v>
      </c>
      <c r="E141">
        <v>1040440</v>
      </c>
      <c r="F141">
        <v>471.33333333333343</v>
      </c>
      <c r="G141">
        <v>471.33333333333343</v>
      </c>
      <c r="H141">
        <v>53.611111111111107</v>
      </c>
      <c r="I141">
        <v>5.4580386000016006</v>
      </c>
      <c r="J141">
        <v>2.9026699994574301E-2</v>
      </c>
      <c r="K141">
        <v>5.4870652999961749</v>
      </c>
    </row>
    <row r="142" spans="1:11" x14ac:dyDescent="0.35">
      <c r="A142">
        <v>70000</v>
      </c>
      <c r="B142">
        <v>0.63095734448019325</v>
      </c>
      <c r="C142">
        <v>7000</v>
      </c>
      <c r="D142">
        <v>150</v>
      </c>
      <c r="E142">
        <v>1</v>
      </c>
      <c r="F142">
        <v>159.3333333333334</v>
      </c>
      <c r="G142">
        <v>158.22222222222231</v>
      </c>
      <c r="H142">
        <v>18.500000000000011</v>
      </c>
      <c r="I142">
        <v>5.5726837999973213</v>
      </c>
      <c r="J142">
        <v>5.2575599998817779E-2</v>
      </c>
      <c r="K142">
        <v>5.6252593999961391</v>
      </c>
    </row>
    <row r="143" spans="1:11" x14ac:dyDescent="0.35">
      <c r="A143">
        <v>70000</v>
      </c>
      <c r="B143">
        <v>0.63095734448019325</v>
      </c>
      <c r="C143">
        <v>7000</v>
      </c>
      <c r="D143">
        <v>150</v>
      </c>
      <c r="E143">
        <v>9</v>
      </c>
      <c r="F143">
        <v>282.33333333333343</v>
      </c>
      <c r="G143">
        <v>282.33333333333343</v>
      </c>
      <c r="H143">
        <v>32.388888888888893</v>
      </c>
      <c r="I143">
        <v>5.577251199996681</v>
      </c>
      <c r="J143">
        <v>3.2223200003500103E-2</v>
      </c>
      <c r="K143">
        <v>5.609474400000181</v>
      </c>
    </row>
    <row r="144" spans="1:11" x14ac:dyDescent="0.35">
      <c r="A144">
        <v>70000</v>
      </c>
      <c r="B144">
        <v>0.63095734448019325</v>
      </c>
      <c r="C144">
        <v>7000</v>
      </c>
      <c r="D144">
        <v>150</v>
      </c>
      <c r="E144">
        <v>14</v>
      </c>
      <c r="F144">
        <v>334.72222222222217</v>
      </c>
      <c r="G144">
        <v>334.72222222222217</v>
      </c>
      <c r="H144">
        <v>49.444444444444443</v>
      </c>
      <c r="I144">
        <v>5.5083181999943918</v>
      </c>
      <c r="J144">
        <v>2.6104699994903061E-2</v>
      </c>
      <c r="K144">
        <v>5.5344228999892948</v>
      </c>
    </row>
    <row r="145" spans="1:11" x14ac:dyDescent="0.35">
      <c r="A145">
        <v>70000</v>
      </c>
      <c r="B145">
        <v>0.63095734448019325</v>
      </c>
      <c r="C145">
        <v>7000</v>
      </c>
      <c r="D145">
        <v>150</v>
      </c>
      <c r="E145">
        <v>88</v>
      </c>
      <c r="F145">
        <v>339.69444444444417</v>
      </c>
      <c r="G145">
        <v>339.69444444444417</v>
      </c>
      <c r="H145">
        <v>52.027777777777757</v>
      </c>
      <c r="I145">
        <v>5.6357920000009472</v>
      </c>
      <c r="J145">
        <v>2.8096200010622852E-2</v>
      </c>
      <c r="K145">
        <v>5.66388820001157</v>
      </c>
    </row>
    <row r="146" spans="1:11" x14ac:dyDescent="0.35">
      <c r="A146">
        <v>70000</v>
      </c>
      <c r="B146">
        <v>0.63095734448019325</v>
      </c>
      <c r="C146">
        <v>7000</v>
      </c>
      <c r="D146">
        <v>150</v>
      </c>
      <c r="E146">
        <v>1040440</v>
      </c>
      <c r="F146">
        <v>380.13888888888908</v>
      </c>
      <c r="G146">
        <v>380.13888888888908</v>
      </c>
      <c r="H146">
        <v>49.055555555555578</v>
      </c>
      <c r="I146">
        <v>5.6627681000099983</v>
      </c>
      <c r="J146">
        <v>3.4879300001193769E-2</v>
      </c>
      <c r="K146">
        <v>5.6976474000111921</v>
      </c>
    </row>
    <row r="147" spans="1:11" x14ac:dyDescent="0.35">
      <c r="A147">
        <v>70000</v>
      </c>
      <c r="B147">
        <v>0.39810717055349731</v>
      </c>
      <c r="C147">
        <v>14000</v>
      </c>
      <c r="D147">
        <v>150</v>
      </c>
      <c r="E147">
        <v>1</v>
      </c>
      <c r="F147">
        <v>408.72222222222217</v>
      </c>
      <c r="G147">
        <v>407.05555555555537</v>
      </c>
      <c r="H147">
        <v>56.777777777777771</v>
      </c>
      <c r="I147">
        <v>5.4148585999937504</v>
      </c>
      <c r="J147">
        <v>6.8310500006191432E-2</v>
      </c>
      <c r="K147">
        <v>5.483169099999941</v>
      </c>
    </row>
    <row r="148" spans="1:11" x14ac:dyDescent="0.35">
      <c r="A148">
        <v>70000</v>
      </c>
      <c r="B148">
        <v>0.39810717055349731</v>
      </c>
      <c r="C148">
        <v>14000</v>
      </c>
      <c r="D148">
        <v>150</v>
      </c>
      <c r="E148">
        <v>9</v>
      </c>
      <c r="F148">
        <v>272.44444444444451</v>
      </c>
      <c r="G148">
        <v>272.44444444444451</v>
      </c>
      <c r="H148">
        <v>27.555555555555561</v>
      </c>
      <c r="I148">
        <v>5.5815860000002431</v>
      </c>
      <c r="J148">
        <v>4.1286599996965379E-2</v>
      </c>
      <c r="K148">
        <v>5.6228725999972076</v>
      </c>
    </row>
    <row r="149" spans="1:11" x14ac:dyDescent="0.35">
      <c r="A149">
        <v>70000</v>
      </c>
      <c r="B149">
        <v>0.39810717055349731</v>
      </c>
      <c r="C149">
        <v>14000</v>
      </c>
      <c r="D149">
        <v>150</v>
      </c>
      <c r="E149">
        <v>14</v>
      </c>
      <c r="F149">
        <v>459.30555555555549</v>
      </c>
      <c r="G149">
        <v>459.30555555555549</v>
      </c>
      <c r="H149">
        <v>64.361111111111114</v>
      </c>
      <c r="I149">
        <v>5.5498917999939286</v>
      </c>
      <c r="J149">
        <v>2.6353900000685829E-2</v>
      </c>
      <c r="K149">
        <v>5.5762456999946153</v>
      </c>
    </row>
    <row r="150" spans="1:11" x14ac:dyDescent="0.35">
      <c r="A150">
        <v>70000</v>
      </c>
      <c r="B150">
        <v>0.39810717055349731</v>
      </c>
      <c r="C150">
        <v>14000</v>
      </c>
      <c r="D150">
        <v>150</v>
      </c>
      <c r="E150">
        <v>88</v>
      </c>
      <c r="F150">
        <v>330.08333333333343</v>
      </c>
      <c r="G150">
        <v>330.08333333333343</v>
      </c>
      <c r="H150">
        <v>47.75</v>
      </c>
      <c r="I150">
        <v>5.6116938999912236</v>
      </c>
      <c r="J150">
        <v>2.988669999467675E-2</v>
      </c>
      <c r="K150">
        <v>5.6415805999859003</v>
      </c>
    </row>
    <row r="151" spans="1:11" x14ac:dyDescent="0.35">
      <c r="A151">
        <v>70000</v>
      </c>
      <c r="B151">
        <v>0.39810717055349731</v>
      </c>
      <c r="C151">
        <v>14000</v>
      </c>
      <c r="D151">
        <v>150</v>
      </c>
      <c r="E151">
        <v>1040440</v>
      </c>
      <c r="F151">
        <v>298.66666666666657</v>
      </c>
      <c r="G151">
        <v>298.66666666666657</v>
      </c>
      <c r="H151">
        <v>44.194444444444443</v>
      </c>
      <c r="I151">
        <v>5.4489404000050854</v>
      </c>
      <c r="J151">
        <v>3.1489000000874512E-2</v>
      </c>
      <c r="K151">
        <v>5.4804294000059599</v>
      </c>
    </row>
    <row r="152" spans="1:11" x14ac:dyDescent="0.35">
      <c r="A152">
        <v>70000</v>
      </c>
      <c r="B152">
        <v>0.99344277847092743</v>
      </c>
      <c r="C152">
        <v>100</v>
      </c>
      <c r="D152">
        <v>200</v>
      </c>
      <c r="E152">
        <v>1</v>
      </c>
      <c r="F152">
        <v>314.5277777777776</v>
      </c>
      <c r="G152">
        <v>314.5277777777776</v>
      </c>
      <c r="H152">
        <v>45.527777777777757</v>
      </c>
      <c r="I152">
        <v>5.3307681000005687</v>
      </c>
      <c r="J152">
        <v>2.6649999999790449E-2</v>
      </c>
      <c r="K152">
        <v>5.3574181000003591</v>
      </c>
    </row>
    <row r="153" spans="1:11" x14ac:dyDescent="0.35">
      <c r="A153">
        <v>70000</v>
      </c>
      <c r="B153">
        <v>0.99344277847092743</v>
      </c>
      <c r="C153">
        <v>100</v>
      </c>
      <c r="D153">
        <v>200</v>
      </c>
      <c r="E153">
        <v>9</v>
      </c>
      <c r="F153">
        <v>236.5</v>
      </c>
      <c r="G153">
        <v>236.5</v>
      </c>
      <c r="H153">
        <v>33.833333333333343</v>
      </c>
      <c r="I153">
        <v>5.3320190999947954</v>
      </c>
      <c r="J153">
        <v>3.9220699996803887E-2</v>
      </c>
      <c r="K153">
        <v>5.3712397999915993</v>
      </c>
    </row>
    <row r="154" spans="1:11" x14ac:dyDescent="0.35">
      <c r="A154">
        <v>70000</v>
      </c>
      <c r="B154">
        <v>0.99344277847092743</v>
      </c>
      <c r="C154">
        <v>100</v>
      </c>
      <c r="D154">
        <v>200</v>
      </c>
      <c r="E154">
        <v>14</v>
      </c>
      <c r="F154">
        <v>315.52777777777783</v>
      </c>
      <c r="G154">
        <v>315.52777777777783</v>
      </c>
      <c r="H154">
        <v>48.916666666666671</v>
      </c>
      <c r="I154">
        <v>5.3743755000032252</v>
      </c>
      <c r="J154">
        <v>2.6096100002177991E-2</v>
      </c>
      <c r="K154">
        <v>5.4004716000054032</v>
      </c>
    </row>
    <row r="155" spans="1:11" x14ac:dyDescent="0.35">
      <c r="A155">
        <v>70000</v>
      </c>
      <c r="B155">
        <v>0.99344277847092743</v>
      </c>
      <c r="C155">
        <v>100</v>
      </c>
      <c r="D155">
        <v>200</v>
      </c>
      <c r="E155">
        <v>88</v>
      </c>
      <c r="F155">
        <v>396.44444444444412</v>
      </c>
      <c r="G155">
        <v>355.77777777777737</v>
      </c>
      <c r="H155">
        <v>44.861111111111079</v>
      </c>
      <c r="I155">
        <v>5.2626622999960091</v>
      </c>
      <c r="J155">
        <v>5.6796399992890663E-2</v>
      </c>
      <c r="K155">
        <v>5.3194586999888998</v>
      </c>
    </row>
    <row r="156" spans="1:11" x14ac:dyDescent="0.35">
      <c r="A156">
        <v>70000</v>
      </c>
      <c r="B156">
        <v>0.99344277847092743</v>
      </c>
      <c r="C156">
        <v>100</v>
      </c>
      <c r="D156">
        <v>200</v>
      </c>
      <c r="E156">
        <v>1040440</v>
      </c>
      <c r="F156">
        <v>536.36111111111109</v>
      </c>
      <c r="G156">
        <v>518.86111111111109</v>
      </c>
      <c r="H156">
        <v>62.527777777777771</v>
      </c>
      <c r="I156">
        <v>5.5701722999947378</v>
      </c>
      <c r="J156">
        <v>7.9433099992456846E-2</v>
      </c>
      <c r="K156">
        <v>5.6496053999871947</v>
      </c>
    </row>
    <row r="157" spans="1:11" x14ac:dyDescent="0.35">
      <c r="A157">
        <v>70000</v>
      </c>
      <c r="B157">
        <v>0.954992586021436</v>
      </c>
      <c r="C157">
        <v>700</v>
      </c>
      <c r="D157">
        <v>200</v>
      </c>
      <c r="E157">
        <v>1</v>
      </c>
      <c r="F157">
        <v>178.111111111111</v>
      </c>
      <c r="G157">
        <v>178.111111111111</v>
      </c>
      <c r="H157">
        <v>20.6111111111111</v>
      </c>
      <c r="I157">
        <v>5.5084173999930499</v>
      </c>
      <c r="J157">
        <v>2.606899999955203E-2</v>
      </c>
      <c r="K157">
        <v>5.5344863999926019</v>
      </c>
    </row>
    <row r="158" spans="1:11" x14ac:dyDescent="0.35">
      <c r="A158">
        <v>70000</v>
      </c>
      <c r="B158">
        <v>0.954992586021436</v>
      </c>
      <c r="C158">
        <v>700</v>
      </c>
      <c r="D158">
        <v>200</v>
      </c>
      <c r="E158">
        <v>9</v>
      </c>
      <c r="F158">
        <v>288.05555555555537</v>
      </c>
      <c r="G158">
        <v>288.05555555555537</v>
      </c>
      <c r="H158">
        <v>42.694444444444443</v>
      </c>
      <c r="I158">
        <v>5.5184977000026274</v>
      </c>
      <c r="J158">
        <v>3.5173500000382767E-2</v>
      </c>
      <c r="K158">
        <v>5.5536712000030093</v>
      </c>
    </row>
    <row r="159" spans="1:11" x14ac:dyDescent="0.35">
      <c r="A159">
        <v>70000</v>
      </c>
      <c r="B159">
        <v>0.954992586021436</v>
      </c>
      <c r="C159">
        <v>700</v>
      </c>
      <c r="D159">
        <v>200</v>
      </c>
      <c r="E159">
        <v>14</v>
      </c>
      <c r="F159">
        <v>206.88888888888891</v>
      </c>
      <c r="G159">
        <v>206.88888888888891</v>
      </c>
      <c r="H159">
        <v>30.916666666666661</v>
      </c>
      <c r="I159">
        <v>5.482319800008554</v>
      </c>
      <c r="J159">
        <v>2.4793100004899319E-2</v>
      </c>
      <c r="K159">
        <v>5.5071129000134533</v>
      </c>
    </row>
    <row r="160" spans="1:11" x14ac:dyDescent="0.35">
      <c r="A160">
        <v>70000</v>
      </c>
      <c r="B160">
        <v>0.954992586021436</v>
      </c>
      <c r="C160">
        <v>700</v>
      </c>
      <c r="D160">
        <v>200</v>
      </c>
      <c r="E160">
        <v>88</v>
      </c>
      <c r="F160">
        <v>433.83333333333343</v>
      </c>
      <c r="G160">
        <v>433.83333333333343</v>
      </c>
      <c r="H160">
        <v>51.361111111111121</v>
      </c>
      <c r="I160">
        <v>5.5002379000070496</v>
      </c>
      <c r="J160">
        <v>2.8988699996261861E-2</v>
      </c>
      <c r="K160">
        <v>5.5292266000033123</v>
      </c>
    </row>
    <row r="161" spans="1:11" x14ac:dyDescent="0.35">
      <c r="A161">
        <v>70000</v>
      </c>
      <c r="B161">
        <v>0.954992586021436</v>
      </c>
      <c r="C161">
        <v>700</v>
      </c>
      <c r="D161">
        <v>200</v>
      </c>
      <c r="E161">
        <v>1040440</v>
      </c>
      <c r="F161">
        <v>157.1666666666666</v>
      </c>
      <c r="G161">
        <v>152.5</v>
      </c>
      <c r="H161">
        <v>20.833333333333329</v>
      </c>
      <c r="I161">
        <v>5.4389423999964492</v>
      </c>
      <c r="J161">
        <v>5.2051499995286583E-2</v>
      </c>
      <c r="K161">
        <v>5.4909938999917358</v>
      </c>
    </row>
    <row r="162" spans="1:11" x14ac:dyDescent="0.35">
      <c r="A162">
        <v>70000</v>
      </c>
      <c r="B162">
        <v>0.93632920882394144</v>
      </c>
      <c r="C162">
        <v>1000</v>
      </c>
      <c r="D162">
        <v>200</v>
      </c>
      <c r="E162">
        <v>1</v>
      </c>
      <c r="F162">
        <v>442.99999999999977</v>
      </c>
      <c r="G162">
        <v>442.99999999999977</v>
      </c>
      <c r="H162">
        <v>61.333333333333307</v>
      </c>
      <c r="I162">
        <v>5.5195310999988578</v>
      </c>
      <c r="J162">
        <v>2.701210000668652E-2</v>
      </c>
      <c r="K162">
        <v>5.5465432000055443</v>
      </c>
    </row>
    <row r="163" spans="1:11" x14ac:dyDescent="0.35">
      <c r="A163">
        <v>70000</v>
      </c>
      <c r="B163">
        <v>0.93632920882394144</v>
      </c>
      <c r="C163">
        <v>1000</v>
      </c>
      <c r="D163">
        <v>200</v>
      </c>
      <c r="E163">
        <v>9</v>
      </c>
      <c r="F163">
        <v>349.33333333333343</v>
      </c>
      <c r="G163">
        <v>326</v>
      </c>
      <c r="H163">
        <v>46.916666666666657</v>
      </c>
      <c r="I163">
        <v>5.3752238999877591</v>
      </c>
      <c r="J163">
        <v>8.3782100002281368E-2</v>
      </c>
      <c r="K163">
        <v>5.4590059999900404</v>
      </c>
    </row>
    <row r="164" spans="1:11" x14ac:dyDescent="0.35">
      <c r="A164">
        <v>70000</v>
      </c>
      <c r="B164">
        <v>0.93632920882394144</v>
      </c>
      <c r="C164">
        <v>1000</v>
      </c>
      <c r="D164">
        <v>200</v>
      </c>
      <c r="E164">
        <v>14</v>
      </c>
      <c r="F164">
        <v>243.16666666666691</v>
      </c>
      <c r="G164">
        <v>243.16666666666691</v>
      </c>
      <c r="H164">
        <v>38.166666666666693</v>
      </c>
      <c r="I164">
        <v>5.442144400003599</v>
      </c>
      <c r="J164">
        <v>3.1498300013481639E-2</v>
      </c>
      <c r="K164">
        <v>5.4736427000170806</v>
      </c>
    </row>
    <row r="165" spans="1:11" x14ac:dyDescent="0.35">
      <c r="A165">
        <v>70000</v>
      </c>
      <c r="B165">
        <v>0.93632920882394144</v>
      </c>
      <c r="C165">
        <v>1000</v>
      </c>
      <c r="D165">
        <v>200</v>
      </c>
      <c r="E165">
        <v>88</v>
      </c>
      <c r="F165">
        <v>290.22222222222217</v>
      </c>
      <c r="G165">
        <v>290.22222222222217</v>
      </c>
      <c r="H165">
        <v>41.861111111111107</v>
      </c>
      <c r="I165">
        <v>5.8925693000055617</v>
      </c>
      <c r="J165">
        <v>3.3075900006224401E-2</v>
      </c>
      <c r="K165">
        <v>5.9256452000117861</v>
      </c>
    </row>
    <row r="166" spans="1:11" x14ac:dyDescent="0.35">
      <c r="A166">
        <v>70000</v>
      </c>
      <c r="B166">
        <v>0.93632920882394144</v>
      </c>
      <c r="C166">
        <v>1000</v>
      </c>
      <c r="D166">
        <v>200</v>
      </c>
      <c r="E166">
        <v>1040440</v>
      </c>
      <c r="F166">
        <v>344.97222222222217</v>
      </c>
      <c r="G166">
        <v>344.97222222222217</v>
      </c>
      <c r="H166">
        <v>50.861111111111107</v>
      </c>
      <c r="I166">
        <v>8.6674409999977797</v>
      </c>
      <c r="J166">
        <v>3.4771799997542978E-2</v>
      </c>
      <c r="K166">
        <v>8.7022127999953227</v>
      </c>
    </row>
    <row r="167" spans="1:11" x14ac:dyDescent="0.35">
      <c r="A167">
        <v>70000</v>
      </c>
      <c r="B167">
        <v>0.91201083935590976</v>
      </c>
      <c r="C167">
        <v>1400</v>
      </c>
      <c r="D167">
        <v>200</v>
      </c>
      <c r="E167">
        <v>1</v>
      </c>
      <c r="F167">
        <v>318.5</v>
      </c>
      <c r="G167">
        <v>318.5</v>
      </c>
      <c r="H167">
        <v>47.083333333333329</v>
      </c>
      <c r="I167">
        <v>7.5187337999959709</v>
      </c>
      <c r="J167">
        <v>2.996690000873059E-2</v>
      </c>
      <c r="K167">
        <v>7.5487007000047024</v>
      </c>
    </row>
    <row r="168" spans="1:11" x14ac:dyDescent="0.35">
      <c r="A168">
        <v>70000</v>
      </c>
      <c r="B168">
        <v>0.91201083935590976</v>
      </c>
      <c r="C168">
        <v>1400</v>
      </c>
      <c r="D168">
        <v>200</v>
      </c>
      <c r="E168">
        <v>9</v>
      </c>
      <c r="F168">
        <v>571.11111111111109</v>
      </c>
      <c r="G168">
        <v>571.11111111111109</v>
      </c>
      <c r="H168">
        <v>80.722222222222214</v>
      </c>
      <c r="I168">
        <v>5.7397859000047902</v>
      </c>
      <c r="J168">
        <v>2.9240899995784279E-2</v>
      </c>
      <c r="K168">
        <v>5.7690268000005744</v>
      </c>
    </row>
    <row r="169" spans="1:11" x14ac:dyDescent="0.35">
      <c r="A169">
        <v>70000</v>
      </c>
      <c r="B169">
        <v>0.91201083935590976</v>
      </c>
      <c r="C169">
        <v>1400</v>
      </c>
      <c r="D169">
        <v>200</v>
      </c>
      <c r="E169">
        <v>14</v>
      </c>
      <c r="F169">
        <v>423.16666666666669</v>
      </c>
      <c r="G169">
        <v>423.16666666666669</v>
      </c>
      <c r="H169">
        <v>55.166666666666671</v>
      </c>
      <c r="I169">
        <v>5.1319416000042111</v>
      </c>
      <c r="J169">
        <v>2.439219999359921E-2</v>
      </c>
      <c r="K169">
        <v>5.1563337999978103</v>
      </c>
    </row>
    <row r="170" spans="1:11" x14ac:dyDescent="0.35">
      <c r="A170">
        <v>70000</v>
      </c>
      <c r="B170">
        <v>0.91201083935590976</v>
      </c>
      <c r="C170">
        <v>1400</v>
      </c>
      <c r="D170">
        <v>200</v>
      </c>
      <c r="E170">
        <v>88</v>
      </c>
      <c r="F170">
        <v>261.7777777777776</v>
      </c>
      <c r="G170">
        <v>261.7777777777776</v>
      </c>
      <c r="H170">
        <v>38.666666666666643</v>
      </c>
      <c r="I170">
        <v>5.1571294000023036</v>
      </c>
      <c r="J170">
        <v>2.5277599997934889E-2</v>
      </c>
      <c r="K170">
        <v>5.1824070000002393</v>
      </c>
    </row>
    <row r="171" spans="1:11" x14ac:dyDescent="0.35">
      <c r="A171">
        <v>70000</v>
      </c>
      <c r="B171">
        <v>0.91201083935590976</v>
      </c>
      <c r="C171">
        <v>1400</v>
      </c>
      <c r="D171">
        <v>200</v>
      </c>
      <c r="E171">
        <v>1040440</v>
      </c>
      <c r="F171">
        <v>385.77777777777737</v>
      </c>
      <c r="G171">
        <v>385.77777777777737</v>
      </c>
      <c r="H171">
        <v>52.861111111111093</v>
      </c>
      <c r="I171">
        <v>6.3593379999947501</v>
      </c>
      <c r="J171">
        <v>2.5248100006137971E-2</v>
      </c>
      <c r="K171">
        <v>6.3845861000008881</v>
      </c>
    </row>
    <row r="172" spans="1:11" x14ac:dyDescent="0.35">
      <c r="A172">
        <v>70000</v>
      </c>
      <c r="B172">
        <v>0.63095734448019325</v>
      </c>
      <c r="C172">
        <v>7000</v>
      </c>
      <c r="D172">
        <v>200</v>
      </c>
      <c r="E172">
        <v>1</v>
      </c>
      <c r="F172">
        <v>279.83333333333309</v>
      </c>
      <c r="G172">
        <v>279.83333333333309</v>
      </c>
      <c r="H172">
        <v>40.249999999999979</v>
      </c>
      <c r="I172">
        <v>5.1680733999965014</v>
      </c>
      <c r="J172">
        <v>2.9158100005588491E-2</v>
      </c>
      <c r="K172">
        <v>5.1972315000020899</v>
      </c>
    </row>
    <row r="173" spans="1:11" x14ac:dyDescent="0.35">
      <c r="A173">
        <v>70000</v>
      </c>
      <c r="B173">
        <v>0.63095734448019325</v>
      </c>
      <c r="C173">
        <v>7000</v>
      </c>
      <c r="D173">
        <v>200</v>
      </c>
      <c r="E173">
        <v>9</v>
      </c>
      <c r="F173">
        <v>280.08333333333348</v>
      </c>
      <c r="G173">
        <v>280.08333333333348</v>
      </c>
      <c r="H173">
        <v>41.305555555555571</v>
      </c>
      <c r="I173">
        <v>4.6767567999922903</v>
      </c>
      <c r="J173">
        <v>2.39201999938814E-2</v>
      </c>
      <c r="K173">
        <v>4.7006769999861717</v>
      </c>
    </row>
    <row r="174" spans="1:11" x14ac:dyDescent="0.35">
      <c r="A174">
        <v>70000</v>
      </c>
      <c r="B174">
        <v>0.63095734448019325</v>
      </c>
      <c r="C174">
        <v>7000</v>
      </c>
      <c r="D174">
        <v>200</v>
      </c>
      <c r="E174">
        <v>14</v>
      </c>
      <c r="F174">
        <v>497.24999999999989</v>
      </c>
      <c r="G174">
        <v>383.91666666666657</v>
      </c>
      <c r="H174">
        <v>52.999999999999993</v>
      </c>
      <c r="I174">
        <v>4.493878199995379</v>
      </c>
      <c r="J174">
        <v>7.068059999437537E-2</v>
      </c>
      <c r="K174">
        <v>4.5645587999897543</v>
      </c>
    </row>
    <row r="175" spans="1:11" x14ac:dyDescent="0.35">
      <c r="A175">
        <v>70000</v>
      </c>
      <c r="B175">
        <v>0.63095734448019325</v>
      </c>
      <c r="C175">
        <v>7000</v>
      </c>
      <c r="D175">
        <v>200</v>
      </c>
      <c r="E175">
        <v>88</v>
      </c>
      <c r="F175">
        <v>269.25</v>
      </c>
      <c r="G175">
        <v>269.25</v>
      </c>
      <c r="H175">
        <v>41.916666666666657</v>
      </c>
      <c r="I175">
        <v>4.4909593000047607</v>
      </c>
      <c r="J175">
        <v>2.3152699999627661E-2</v>
      </c>
      <c r="K175">
        <v>4.5141120000043884</v>
      </c>
    </row>
    <row r="176" spans="1:11" x14ac:dyDescent="0.35">
      <c r="A176">
        <v>70000</v>
      </c>
      <c r="B176">
        <v>0.63095734448019325</v>
      </c>
      <c r="C176">
        <v>7000</v>
      </c>
      <c r="D176">
        <v>200</v>
      </c>
      <c r="E176">
        <v>1040440</v>
      </c>
      <c r="F176">
        <v>340.08333333333331</v>
      </c>
      <c r="G176">
        <v>340.08333333333331</v>
      </c>
      <c r="H176">
        <v>51.80555555555555</v>
      </c>
      <c r="I176">
        <v>4.8398108000110369</v>
      </c>
      <c r="J176">
        <v>2.4792600001092069E-2</v>
      </c>
      <c r="K176">
        <v>4.864603400012129</v>
      </c>
    </row>
    <row r="177" spans="1:11" x14ac:dyDescent="0.35">
      <c r="A177">
        <v>70000</v>
      </c>
      <c r="B177">
        <v>0.39810717055349731</v>
      </c>
      <c r="C177">
        <v>14000</v>
      </c>
      <c r="D177">
        <v>200</v>
      </c>
      <c r="E177">
        <v>1</v>
      </c>
      <c r="F177">
        <v>546.22222222222217</v>
      </c>
      <c r="G177">
        <v>546.22222222222217</v>
      </c>
      <c r="H177">
        <v>71.555555555555557</v>
      </c>
      <c r="I177">
        <v>4.4677589000057196</v>
      </c>
      <c r="J177">
        <v>2.684320000116713E-2</v>
      </c>
      <c r="K177">
        <v>4.4946021000068868</v>
      </c>
    </row>
    <row r="178" spans="1:11" x14ac:dyDescent="0.35">
      <c r="A178">
        <v>70000</v>
      </c>
      <c r="B178">
        <v>0.39810717055349731</v>
      </c>
      <c r="C178">
        <v>14000</v>
      </c>
      <c r="D178">
        <v>200</v>
      </c>
      <c r="E178">
        <v>9</v>
      </c>
      <c r="F178">
        <v>261.94444444444417</v>
      </c>
      <c r="G178">
        <v>261.94444444444417</v>
      </c>
      <c r="H178">
        <v>37.638888888888879</v>
      </c>
      <c r="I178">
        <v>4.549997500012978</v>
      </c>
      <c r="J178">
        <v>2.6532600008067671E-2</v>
      </c>
      <c r="K178">
        <v>4.5765301000210457</v>
      </c>
    </row>
    <row r="179" spans="1:11" x14ac:dyDescent="0.35">
      <c r="A179">
        <v>70000</v>
      </c>
      <c r="B179">
        <v>0.39810717055349731</v>
      </c>
      <c r="C179">
        <v>14000</v>
      </c>
      <c r="D179">
        <v>200</v>
      </c>
      <c r="E179">
        <v>14</v>
      </c>
      <c r="F179">
        <v>338.94444444444429</v>
      </c>
      <c r="G179">
        <v>338.94444444444429</v>
      </c>
      <c r="H179">
        <v>45.249999999999993</v>
      </c>
      <c r="I179">
        <v>4.6373601000086637</v>
      </c>
      <c r="J179">
        <v>2.5097899997490462E-2</v>
      </c>
      <c r="K179">
        <v>4.6624580000061542</v>
      </c>
    </row>
    <row r="180" spans="1:11" x14ac:dyDescent="0.35">
      <c r="A180">
        <v>70000</v>
      </c>
      <c r="B180">
        <v>0.39810717055349731</v>
      </c>
      <c r="C180">
        <v>14000</v>
      </c>
      <c r="D180">
        <v>200</v>
      </c>
      <c r="E180">
        <v>88</v>
      </c>
      <c r="F180">
        <v>362.83333333333348</v>
      </c>
      <c r="G180">
        <v>362.83333333333348</v>
      </c>
      <c r="H180">
        <v>50.083333333333357</v>
      </c>
      <c r="I180">
        <v>4.535221600002842</v>
      </c>
      <c r="J180">
        <v>2.381230000173673E-2</v>
      </c>
      <c r="K180">
        <v>4.5590339000045788</v>
      </c>
    </row>
    <row r="181" spans="1:11" x14ac:dyDescent="0.35">
      <c r="A181">
        <v>70000</v>
      </c>
      <c r="B181">
        <v>0.39810717055349731</v>
      </c>
      <c r="C181">
        <v>14000</v>
      </c>
      <c r="D181">
        <v>200</v>
      </c>
      <c r="E181">
        <v>1040440</v>
      </c>
      <c r="F181">
        <v>240.13888888888931</v>
      </c>
      <c r="G181">
        <v>240.13888888888931</v>
      </c>
      <c r="H181">
        <v>37.388888888888943</v>
      </c>
      <c r="I181">
        <v>5.1845141999947373</v>
      </c>
      <c r="J181">
        <v>2.7335500009940009E-2</v>
      </c>
      <c r="K181">
        <v>5.2118497000046773</v>
      </c>
    </row>
    <row r="182" spans="1:11" x14ac:dyDescent="0.35">
      <c r="A182">
        <v>70000</v>
      </c>
      <c r="B182">
        <v>0.99344277847092743</v>
      </c>
      <c r="C182">
        <v>100</v>
      </c>
      <c r="D182">
        <v>500</v>
      </c>
      <c r="E182">
        <v>1</v>
      </c>
      <c r="F182">
        <v>297.25</v>
      </c>
      <c r="G182">
        <v>297.25</v>
      </c>
      <c r="H182">
        <v>45.416666666666657</v>
      </c>
      <c r="I182">
        <v>4.8200559000106296</v>
      </c>
      <c r="J182">
        <v>2.8431400001863949E-2</v>
      </c>
      <c r="K182">
        <v>4.8484873000124944</v>
      </c>
    </row>
    <row r="183" spans="1:11" x14ac:dyDescent="0.35">
      <c r="A183">
        <v>70000</v>
      </c>
      <c r="B183">
        <v>0.99344277847092743</v>
      </c>
      <c r="C183">
        <v>100</v>
      </c>
      <c r="D183">
        <v>500</v>
      </c>
      <c r="E183">
        <v>9</v>
      </c>
      <c r="F183">
        <v>401.41666666666652</v>
      </c>
      <c r="G183">
        <v>401.41666666666652</v>
      </c>
      <c r="H183">
        <v>58.833333333333307</v>
      </c>
      <c r="I183">
        <v>4.4945599000056973</v>
      </c>
      <c r="J183">
        <v>2.2405500014428981E-2</v>
      </c>
      <c r="K183">
        <v>4.5169654000201263</v>
      </c>
    </row>
    <row r="184" spans="1:11" x14ac:dyDescent="0.35">
      <c r="A184">
        <v>70000</v>
      </c>
      <c r="B184">
        <v>0.99344277847092743</v>
      </c>
      <c r="C184">
        <v>100</v>
      </c>
      <c r="D184">
        <v>500</v>
      </c>
      <c r="E184">
        <v>14</v>
      </c>
      <c r="F184">
        <v>504.22222222222217</v>
      </c>
      <c r="G184">
        <v>504.22222222222217</v>
      </c>
      <c r="H184">
        <v>67.472222222222229</v>
      </c>
      <c r="I184">
        <v>4.6134434999985388</v>
      </c>
      <c r="J184">
        <v>2.459809998981655E-2</v>
      </c>
      <c r="K184">
        <v>4.6380415999883553</v>
      </c>
    </row>
    <row r="185" spans="1:11" x14ac:dyDescent="0.35">
      <c r="A185">
        <v>70000</v>
      </c>
      <c r="B185">
        <v>0.99344277847092743</v>
      </c>
      <c r="C185">
        <v>100</v>
      </c>
      <c r="D185">
        <v>500</v>
      </c>
      <c r="E185">
        <v>88</v>
      </c>
      <c r="F185">
        <v>387.83333333333343</v>
      </c>
      <c r="G185">
        <v>330.5</v>
      </c>
      <c r="H185">
        <v>48.5</v>
      </c>
      <c r="I185">
        <v>4.57389489999332</v>
      </c>
      <c r="J185">
        <v>0.1216629999980796</v>
      </c>
      <c r="K185">
        <v>4.6955578999913996</v>
      </c>
    </row>
    <row r="186" spans="1:11" x14ac:dyDescent="0.35">
      <c r="A186">
        <v>70000</v>
      </c>
      <c r="B186">
        <v>0.99344277847092743</v>
      </c>
      <c r="C186">
        <v>100</v>
      </c>
      <c r="D186">
        <v>500</v>
      </c>
      <c r="E186">
        <v>1040440</v>
      </c>
      <c r="F186">
        <v>332.77777777777789</v>
      </c>
      <c r="G186">
        <v>332.77777777777789</v>
      </c>
      <c r="H186">
        <v>45.8888888888889</v>
      </c>
      <c r="I186">
        <v>4.5282487999938894</v>
      </c>
      <c r="J186">
        <v>2.1910099996603091E-2</v>
      </c>
      <c r="K186">
        <v>4.5501588999904934</v>
      </c>
    </row>
    <row r="187" spans="1:11" x14ac:dyDescent="0.35">
      <c r="A187">
        <v>70000</v>
      </c>
      <c r="B187">
        <v>0.954992586021436</v>
      </c>
      <c r="C187">
        <v>700</v>
      </c>
      <c r="D187">
        <v>500</v>
      </c>
      <c r="E187">
        <v>1</v>
      </c>
      <c r="F187">
        <v>373.36111111111097</v>
      </c>
      <c r="G187">
        <v>373.36111111111097</v>
      </c>
      <c r="H187">
        <v>53.138888888888879</v>
      </c>
      <c r="I187">
        <v>4.5057613999961177</v>
      </c>
      <c r="J187">
        <v>2.2746699993149381E-2</v>
      </c>
      <c r="K187">
        <v>4.5285080999892671</v>
      </c>
    </row>
    <row r="188" spans="1:11" x14ac:dyDescent="0.35">
      <c r="A188">
        <v>70000</v>
      </c>
      <c r="B188">
        <v>0.954992586021436</v>
      </c>
      <c r="C188">
        <v>700</v>
      </c>
      <c r="D188">
        <v>500</v>
      </c>
      <c r="E188">
        <v>9</v>
      </c>
      <c r="F188">
        <v>273.44444444444429</v>
      </c>
      <c r="G188">
        <v>273.44444444444429</v>
      </c>
      <c r="H188">
        <v>40.527777777777757</v>
      </c>
      <c r="I188">
        <v>4.5599081999971531</v>
      </c>
      <c r="J188">
        <v>2.5062000000616539E-2</v>
      </c>
      <c r="K188">
        <v>4.5849701999977697</v>
      </c>
    </row>
    <row r="189" spans="1:11" x14ac:dyDescent="0.35">
      <c r="A189">
        <v>70000</v>
      </c>
      <c r="B189">
        <v>0.954992586021436</v>
      </c>
      <c r="C189">
        <v>700</v>
      </c>
      <c r="D189">
        <v>500</v>
      </c>
      <c r="E189">
        <v>14</v>
      </c>
      <c r="F189">
        <v>267.94444444444451</v>
      </c>
      <c r="G189">
        <v>267.94444444444451</v>
      </c>
      <c r="H189">
        <v>40.027777777777779</v>
      </c>
      <c r="I189">
        <v>4.7132123000046704</v>
      </c>
      <c r="J189">
        <v>2.3848999990150329E-2</v>
      </c>
      <c r="K189">
        <v>4.7370612999948207</v>
      </c>
    </row>
    <row r="190" spans="1:11" x14ac:dyDescent="0.35">
      <c r="A190">
        <v>70000</v>
      </c>
      <c r="B190">
        <v>0.954992586021436</v>
      </c>
      <c r="C190">
        <v>700</v>
      </c>
      <c r="D190">
        <v>500</v>
      </c>
      <c r="E190">
        <v>88</v>
      </c>
      <c r="F190">
        <v>351.6388888888888</v>
      </c>
      <c r="G190">
        <v>351.6388888888888</v>
      </c>
      <c r="H190">
        <v>49.222222222222207</v>
      </c>
      <c r="I190">
        <v>4.6677485999971404</v>
      </c>
      <c r="J190">
        <v>2.5386399996932599E-2</v>
      </c>
      <c r="K190">
        <v>4.6931349999940721</v>
      </c>
    </row>
    <row r="191" spans="1:11" x14ac:dyDescent="0.35">
      <c r="A191">
        <v>70000</v>
      </c>
      <c r="B191">
        <v>0.954992586021436</v>
      </c>
      <c r="C191">
        <v>700</v>
      </c>
      <c r="D191">
        <v>500</v>
      </c>
      <c r="E191">
        <v>1040440</v>
      </c>
      <c r="F191">
        <v>311.11111111111131</v>
      </c>
      <c r="G191">
        <v>311.11111111111131</v>
      </c>
      <c r="H191">
        <v>41.777777777777793</v>
      </c>
      <c r="I191">
        <v>4.5423656000057244</v>
      </c>
      <c r="J191">
        <v>2.3374000011244789E-2</v>
      </c>
      <c r="K191">
        <v>4.5657396000169683</v>
      </c>
    </row>
    <row r="192" spans="1:11" x14ac:dyDescent="0.35">
      <c r="A192">
        <v>70000</v>
      </c>
      <c r="B192">
        <v>0.93632920882394144</v>
      </c>
      <c r="C192">
        <v>1000</v>
      </c>
      <c r="D192">
        <v>500</v>
      </c>
      <c r="E192">
        <v>1</v>
      </c>
      <c r="F192">
        <v>376.08333333333309</v>
      </c>
      <c r="G192">
        <v>376.08333333333309</v>
      </c>
      <c r="H192">
        <v>58.666666666666643</v>
      </c>
      <c r="I192">
        <v>4.6330842999886954</v>
      </c>
      <c r="J192">
        <v>2.4849599998560731E-2</v>
      </c>
      <c r="K192">
        <v>4.6579338999872562</v>
      </c>
    </row>
    <row r="193" spans="1:11" x14ac:dyDescent="0.35">
      <c r="A193">
        <v>70000</v>
      </c>
      <c r="B193">
        <v>0.93632920882394144</v>
      </c>
      <c r="C193">
        <v>1000</v>
      </c>
      <c r="D193">
        <v>500</v>
      </c>
      <c r="E193">
        <v>9</v>
      </c>
      <c r="F193">
        <v>355.94444444444429</v>
      </c>
      <c r="G193">
        <v>355.94444444444429</v>
      </c>
      <c r="H193">
        <v>52.833333333333307</v>
      </c>
      <c r="I193">
        <v>4.8295165999879828</v>
      </c>
      <c r="J193">
        <v>3.5135400001308881E-2</v>
      </c>
      <c r="K193">
        <v>4.8646519999892917</v>
      </c>
    </row>
    <row r="194" spans="1:11" x14ac:dyDescent="0.35">
      <c r="A194">
        <v>70000</v>
      </c>
      <c r="B194">
        <v>0.93632920882394144</v>
      </c>
      <c r="C194">
        <v>1000</v>
      </c>
      <c r="D194">
        <v>500</v>
      </c>
      <c r="E194">
        <v>14</v>
      </c>
      <c r="F194">
        <v>262.72222222222229</v>
      </c>
      <c r="G194">
        <v>262.72222222222229</v>
      </c>
      <c r="H194">
        <v>39.027777777777793</v>
      </c>
      <c r="I194">
        <v>5.2338639999943553</v>
      </c>
      <c r="J194">
        <v>2.745510000386275E-2</v>
      </c>
      <c r="K194">
        <v>5.261319099998218</v>
      </c>
    </row>
    <row r="195" spans="1:11" x14ac:dyDescent="0.35">
      <c r="A195">
        <v>70000</v>
      </c>
      <c r="B195">
        <v>0.93632920882394144</v>
      </c>
      <c r="C195">
        <v>1000</v>
      </c>
      <c r="D195">
        <v>500</v>
      </c>
      <c r="E195">
        <v>88</v>
      </c>
      <c r="F195">
        <v>307.55555555555549</v>
      </c>
      <c r="G195">
        <v>307.55555555555549</v>
      </c>
      <c r="H195">
        <v>42.694444444444443</v>
      </c>
      <c r="I195">
        <v>5.012473199996748</v>
      </c>
      <c r="J195">
        <v>2.777210000203922E-2</v>
      </c>
      <c r="K195">
        <v>5.0402452999987872</v>
      </c>
    </row>
    <row r="196" spans="1:11" x14ac:dyDescent="0.35">
      <c r="A196">
        <v>70000</v>
      </c>
      <c r="B196">
        <v>0.93632920882394144</v>
      </c>
      <c r="C196">
        <v>1000</v>
      </c>
      <c r="D196">
        <v>500</v>
      </c>
      <c r="E196">
        <v>1040440</v>
      </c>
      <c r="F196">
        <v>358.55555555555549</v>
      </c>
      <c r="G196">
        <v>358.55555555555549</v>
      </c>
      <c r="H196">
        <v>47.555555555555557</v>
      </c>
      <c r="I196">
        <v>5.2830248000100264</v>
      </c>
      <c r="J196">
        <v>2.8358599985949699E-2</v>
      </c>
      <c r="K196">
        <v>5.3113833999959752</v>
      </c>
    </row>
    <row r="197" spans="1:11" x14ac:dyDescent="0.35">
      <c r="A197">
        <v>70000</v>
      </c>
      <c r="B197">
        <v>0.91201083935590976</v>
      </c>
      <c r="C197">
        <v>1400</v>
      </c>
      <c r="D197">
        <v>500</v>
      </c>
      <c r="E197">
        <v>1</v>
      </c>
      <c r="F197">
        <v>321.27777777777783</v>
      </c>
      <c r="G197">
        <v>321.27777777777783</v>
      </c>
      <c r="H197">
        <v>50.583333333333343</v>
      </c>
      <c r="I197">
        <v>4.6052109000011114</v>
      </c>
      <c r="J197">
        <v>2.324809999845456E-2</v>
      </c>
      <c r="K197">
        <v>4.628458999999566</v>
      </c>
    </row>
    <row r="198" spans="1:11" x14ac:dyDescent="0.35">
      <c r="A198">
        <v>70000</v>
      </c>
      <c r="B198">
        <v>0.91201083935590976</v>
      </c>
      <c r="C198">
        <v>1400</v>
      </c>
      <c r="D198">
        <v>500</v>
      </c>
      <c r="E198">
        <v>9</v>
      </c>
      <c r="F198">
        <v>316.11111111111109</v>
      </c>
      <c r="G198">
        <v>316.11111111111109</v>
      </c>
      <c r="H198">
        <v>42.722222222222207</v>
      </c>
      <c r="I198">
        <v>4.6656397000042489</v>
      </c>
      <c r="J198">
        <v>2.6072699998621829E-2</v>
      </c>
      <c r="K198">
        <v>4.6917124000028707</v>
      </c>
    </row>
    <row r="199" spans="1:11" x14ac:dyDescent="0.35">
      <c r="A199">
        <v>70000</v>
      </c>
      <c r="B199">
        <v>0.91201083935590976</v>
      </c>
      <c r="C199">
        <v>1400</v>
      </c>
      <c r="D199">
        <v>500</v>
      </c>
      <c r="E199">
        <v>14</v>
      </c>
      <c r="F199">
        <v>363.36111111111069</v>
      </c>
      <c r="G199">
        <v>363.36111111111069</v>
      </c>
      <c r="H199">
        <v>42.083333333333293</v>
      </c>
      <c r="I199">
        <v>4.6521001999935834</v>
      </c>
      <c r="J199">
        <v>2.5601000001188371E-2</v>
      </c>
      <c r="K199">
        <v>4.6777011999947717</v>
      </c>
    </row>
    <row r="200" spans="1:11" x14ac:dyDescent="0.35">
      <c r="A200">
        <v>70000</v>
      </c>
      <c r="B200">
        <v>0.91201083935590976</v>
      </c>
      <c r="C200">
        <v>1400</v>
      </c>
      <c r="D200">
        <v>500</v>
      </c>
      <c r="E200">
        <v>88</v>
      </c>
      <c r="F200">
        <v>156.77777777777769</v>
      </c>
      <c r="G200">
        <v>156.77777777777769</v>
      </c>
      <c r="H200">
        <v>18.833333333333329</v>
      </c>
      <c r="I200">
        <v>4.5854287000111071</v>
      </c>
      <c r="J200">
        <v>2.568160000373609E-2</v>
      </c>
      <c r="K200">
        <v>4.6111103000148432</v>
      </c>
    </row>
    <row r="201" spans="1:11" x14ac:dyDescent="0.35">
      <c r="A201">
        <v>70000</v>
      </c>
      <c r="B201">
        <v>0.91201083935590976</v>
      </c>
      <c r="C201">
        <v>1400</v>
      </c>
      <c r="D201">
        <v>500</v>
      </c>
      <c r="E201">
        <v>1040440</v>
      </c>
      <c r="F201">
        <v>268.11111111111143</v>
      </c>
      <c r="G201">
        <v>259.77777777777789</v>
      </c>
      <c r="H201">
        <v>37.055555555555571</v>
      </c>
      <c r="I201">
        <v>4.7222670999908587</v>
      </c>
      <c r="J201">
        <v>4.7513900004560128E-2</v>
      </c>
      <c r="K201">
        <v>4.7697809999954188</v>
      </c>
    </row>
    <row r="202" spans="1:11" x14ac:dyDescent="0.35">
      <c r="A202">
        <v>70000</v>
      </c>
      <c r="B202">
        <v>0.63095734448019325</v>
      </c>
      <c r="C202">
        <v>7000</v>
      </c>
      <c r="D202">
        <v>500</v>
      </c>
      <c r="E202">
        <v>1</v>
      </c>
      <c r="F202">
        <v>393.27777777777771</v>
      </c>
      <c r="G202">
        <v>393.27777777777771</v>
      </c>
      <c r="H202">
        <v>57.833333333333329</v>
      </c>
      <c r="I202">
        <v>4.840986699986388</v>
      </c>
      <c r="J202">
        <v>2.6147600001422688E-2</v>
      </c>
      <c r="K202">
        <v>4.8671342999878107</v>
      </c>
    </row>
    <row r="203" spans="1:11" x14ac:dyDescent="0.35">
      <c r="A203">
        <v>70000</v>
      </c>
      <c r="B203">
        <v>0.63095734448019325</v>
      </c>
      <c r="C203">
        <v>7000</v>
      </c>
      <c r="D203">
        <v>500</v>
      </c>
      <c r="E203">
        <v>9</v>
      </c>
      <c r="F203">
        <v>362.49999999999989</v>
      </c>
      <c r="G203">
        <v>362.49999999999989</v>
      </c>
      <c r="H203">
        <v>54.249999999999993</v>
      </c>
      <c r="I203">
        <v>5.0925778999953764</v>
      </c>
      <c r="J203">
        <v>2.8975099994568151E-2</v>
      </c>
      <c r="K203">
        <v>5.1215529999899454</v>
      </c>
    </row>
    <row r="204" spans="1:11" x14ac:dyDescent="0.35">
      <c r="A204">
        <v>70000</v>
      </c>
      <c r="B204">
        <v>0.63095734448019325</v>
      </c>
      <c r="C204">
        <v>7000</v>
      </c>
      <c r="D204">
        <v>500</v>
      </c>
      <c r="E204">
        <v>14</v>
      </c>
      <c r="F204">
        <v>349.41666666666652</v>
      </c>
      <c r="G204">
        <v>310.41666666666657</v>
      </c>
      <c r="H204">
        <v>46.916666666666657</v>
      </c>
      <c r="I204">
        <v>4.5100946999882581</v>
      </c>
      <c r="J204">
        <v>6.8585500004701316E-2</v>
      </c>
      <c r="K204">
        <v>4.5786801999929594</v>
      </c>
    </row>
    <row r="205" spans="1:11" x14ac:dyDescent="0.35">
      <c r="A205">
        <v>70000</v>
      </c>
      <c r="B205">
        <v>0.63095734448019325</v>
      </c>
      <c r="C205">
        <v>7000</v>
      </c>
      <c r="D205">
        <v>500</v>
      </c>
      <c r="E205">
        <v>88</v>
      </c>
      <c r="F205">
        <v>312.2777777777776</v>
      </c>
      <c r="G205">
        <v>312.2777777777776</v>
      </c>
      <c r="H205">
        <v>47.166666666666643</v>
      </c>
      <c r="I205">
        <v>4.4647376000066288</v>
      </c>
      <c r="J205">
        <v>2.2601800010306761E-2</v>
      </c>
      <c r="K205">
        <v>4.4873394000169364</v>
      </c>
    </row>
    <row r="206" spans="1:11" x14ac:dyDescent="0.35">
      <c r="A206">
        <v>70000</v>
      </c>
      <c r="B206">
        <v>0.63095734448019325</v>
      </c>
      <c r="C206">
        <v>7000</v>
      </c>
      <c r="D206">
        <v>500</v>
      </c>
      <c r="E206">
        <v>1040440</v>
      </c>
      <c r="F206">
        <v>375.69444444444451</v>
      </c>
      <c r="G206">
        <v>375.69444444444451</v>
      </c>
      <c r="H206">
        <v>52.055555555555557</v>
      </c>
      <c r="I206">
        <v>4.375627200002782</v>
      </c>
      <c r="J206">
        <v>2.245199999015313E-2</v>
      </c>
      <c r="K206">
        <v>4.3980791999929352</v>
      </c>
    </row>
    <row r="207" spans="1:11" x14ac:dyDescent="0.35">
      <c r="A207">
        <v>70000</v>
      </c>
      <c r="B207">
        <v>0.39810717055349731</v>
      </c>
      <c r="C207">
        <v>14000</v>
      </c>
      <c r="D207">
        <v>500</v>
      </c>
      <c r="E207">
        <v>1</v>
      </c>
      <c r="F207">
        <v>280.22222222222229</v>
      </c>
      <c r="G207">
        <v>280.22222222222229</v>
      </c>
      <c r="H207">
        <v>39.444444444444457</v>
      </c>
      <c r="I207">
        <v>4.3987106999993557</v>
      </c>
      <c r="J207">
        <v>2.1313999997801151E-2</v>
      </c>
      <c r="K207">
        <v>4.4200246999971569</v>
      </c>
    </row>
    <row r="208" spans="1:11" x14ac:dyDescent="0.35">
      <c r="A208">
        <v>70000</v>
      </c>
      <c r="B208">
        <v>0.39810717055349731</v>
      </c>
      <c r="C208">
        <v>14000</v>
      </c>
      <c r="D208">
        <v>500</v>
      </c>
      <c r="E208">
        <v>9</v>
      </c>
      <c r="F208">
        <v>299.22222222222229</v>
      </c>
      <c r="G208">
        <v>299.22222222222229</v>
      </c>
      <c r="H208">
        <v>43.305555555555557</v>
      </c>
      <c r="I208">
        <v>4.4575020000047516</v>
      </c>
      <c r="J208">
        <v>2.4705899995751679E-2</v>
      </c>
      <c r="K208">
        <v>4.4822079000005033</v>
      </c>
    </row>
    <row r="209" spans="1:11" x14ac:dyDescent="0.35">
      <c r="A209">
        <v>70000</v>
      </c>
      <c r="B209">
        <v>0.39810717055349731</v>
      </c>
      <c r="C209">
        <v>14000</v>
      </c>
      <c r="D209">
        <v>500</v>
      </c>
      <c r="E209">
        <v>14</v>
      </c>
      <c r="F209">
        <v>614.91666666666674</v>
      </c>
      <c r="G209">
        <v>614.91666666666674</v>
      </c>
      <c r="H209">
        <v>90.055555555555571</v>
      </c>
      <c r="I209">
        <v>4.4643952000042191</v>
      </c>
      <c r="J209">
        <v>2.54815999942366E-2</v>
      </c>
      <c r="K209">
        <v>4.4898767999984557</v>
      </c>
    </row>
    <row r="210" spans="1:11" x14ac:dyDescent="0.35">
      <c r="A210">
        <v>70000</v>
      </c>
      <c r="B210">
        <v>0.39810717055349731</v>
      </c>
      <c r="C210">
        <v>14000</v>
      </c>
      <c r="D210">
        <v>500</v>
      </c>
      <c r="E210">
        <v>88</v>
      </c>
      <c r="F210">
        <v>712.19444444444457</v>
      </c>
      <c r="G210">
        <v>712.19444444444457</v>
      </c>
      <c r="H210">
        <v>72.611111111111114</v>
      </c>
      <c r="I210">
        <v>4.4164855999988504</v>
      </c>
      <c r="J210">
        <v>2.4637700000312179E-2</v>
      </c>
      <c r="K210">
        <v>4.4411232999991634</v>
      </c>
    </row>
    <row r="211" spans="1:11" x14ac:dyDescent="0.35">
      <c r="A211">
        <v>70000</v>
      </c>
      <c r="B211">
        <v>0.39810717055349731</v>
      </c>
      <c r="C211">
        <v>14000</v>
      </c>
      <c r="D211">
        <v>500</v>
      </c>
      <c r="E211">
        <v>1040440</v>
      </c>
      <c r="F211">
        <v>261.83333333333331</v>
      </c>
      <c r="G211">
        <v>245</v>
      </c>
      <c r="H211">
        <v>38.833333333333329</v>
      </c>
      <c r="I211">
        <v>4.1996385000093142</v>
      </c>
      <c r="J211">
        <v>6.5893900013179518E-2</v>
      </c>
      <c r="K211">
        <v>4.2655324000224937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3"/>
  <sheetViews>
    <sheetView topLeftCell="A8" workbookViewId="0">
      <selection sqref="A1:G43"/>
    </sheetView>
  </sheetViews>
  <sheetFormatPr defaultRowHeight="14.5" x14ac:dyDescent="0.35"/>
  <cols>
    <col min="1" max="1" width="5.7265625" bestFit="1" customWidth="1"/>
    <col min="2" max="2" width="9.7265625" bestFit="1" customWidth="1"/>
    <col min="3" max="3" width="20" bestFit="1" customWidth="1"/>
    <col min="4" max="4" width="13.81640625" bestFit="1" customWidth="1"/>
    <col min="5" max="5" width="17.453125" bestFit="1" customWidth="1"/>
    <col min="6" max="6" width="21.54296875" bestFit="1" customWidth="1"/>
    <col min="7" max="7" width="11.54296875" bestFit="1" customWidth="1"/>
  </cols>
  <sheetData>
    <row r="1" spans="1:7" x14ac:dyDescent="0.35">
      <c r="A1" t="s">
        <v>3</v>
      </c>
      <c r="B1" t="s">
        <v>2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 x14ac:dyDescent="0.35">
      <c r="A2">
        <v>50</v>
      </c>
      <c r="B2">
        <v>100</v>
      </c>
      <c r="C2">
        <v>490.90555555555528</v>
      </c>
      <c r="D2">
        <v>301.7777777777776</v>
      </c>
      <c r="E2">
        <v>353.89889310820098</v>
      </c>
      <c r="F2">
        <v>5.3853050200006694</v>
      </c>
      <c r="G2">
        <v>5</v>
      </c>
    </row>
    <row r="3" spans="1:7" x14ac:dyDescent="0.35">
      <c r="A3">
        <v>50</v>
      </c>
      <c r="B3">
        <v>700</v>
      </c>
      <c r="C3">
        <v>629.69444444444434</v>
      </c>
      <c r="D3">
        <v>395.33333333333343</v>
      </c>
      <c r="E3">
        <v>290.82807819193602</v>
      </c>
      <c r="F3">
        <v>5.4206092799984624</v>
      </c>
      <c r="G3">
        <v>5</v>
      </c>
    </row>
    <row r="4" spans="1:7" x14ac:dyDescent="0.35">
      <c r="A4">
        <v>50</v>
      </c>
      <c r="B4">
        <v>1000</v>
      </c>
      <c r="C4">
        <v>635.65555555555534</v>
      </c>
      <c r="D4">
        <v>352.52777777777749</v>
      </c>
      <c r="E4">
        <v>318.07748141309662</v>
      </c>
      <c r="F4">
        <v>5.4572971199988389</v>
      </c>
      <c r="G4">
        <v>5</v>
      </c>
    </row>
    <row r="5" spans="1:7" x14ac:dyDescent="0.35">
      <c r="A5">
        <v>50</v>
      </c>
      <c r="B5">
        <v>1400</v>
      </c>
      <c r="C5">
        <v>479.70555555555552</v>
      </c>
      <c r="D5">
        <v>308.08333333333331</v>
      </c>
      <c r="E5">
        <v>188.48198881597321</v>
      </c>
      <c r="F5">
        <v>5.469670100000803</v>
      </c>
      <c r="G5">
        <v>5</v>
      </c>
    </row>
    <row r="6" spans="1:7" x14ac:dyDescent="0.35">
      <c r="A6">
        <v>50</v>
      </c>
      <c r="B6">
        <v>7000</v>
      </c>
      <c r="C6">
        <v>553.83888888888885</v>
      </c>
      <c r="D6">
        <v>237.0555555555556</v>
      </c>
      <c r="E6">
        <v>264.4482853070744</v>
      </c>
      <c r="F6">
        <v>5.5053737999987788</v>
      </c>
      <c r="G6">
        <v>5</v>
      </c>
    </row>
    <row r="7" spans="1:7" x14ac:dyDescent="0.35">
      <c r="A7">
        <v>50</v>
      </c>
      <c r="B7">
        <v>14000</v>
      </c>
      <c r="C7">
        <v>361.72222222222217</v>
      </c>
      <c r="D7">
        <v>172.05555555555549</v>
      </c>
      <c r="E7">
        <v>113.8053165592913</v>
      </c>
      <c r="F7">
        <v>5.6162933999963567</v>
      </c>
      <c r="G7">
        <v>5</v>
      </c>
    </row>
    <row r="8" spans="1:7" x14ac:dyDescent="0.35">
      <c r="A8">
        <v>80</v>
      </c>
      <c r="B8">
        <v>100</v>
      </c>
      <c r="C8">
        <v>399.56111111111102</v>
      </c>
      <c r="D8">
        <v>288.77777777777749</v>
      </c>
      <c r="E8">
        <v>84.444623537821755</v>
      </c>
      <c r="F8">
        <v>5.4640047599968966</v>
      </c>
      <c r="G8">
        <v>5</v>
      </c>
    </row>
    <row r="9" spans="1:7" x14ac:dyDescent="0.35">
      <c r="A9">
        <v>80</v>
      </c>
      <c r="B9">
        <v>700</v>
      </c>
      <c r="C9">
        <v>406.81111111111107</v>
      </c>
      <c r="D9">
        <v>331.7777777777776</v>
      </c>
      <c r="E9">
        <v>82.782593073963326</v>
      </c>
      <c r="F9">
        <v>5.465756339998916</v>
      </c>
      <c r="G9">
        <v>5</v>
      </c>
    </row>
    <row r="10" spans="1:7" x14ac:dyDescent="0.35">
      <c r="A10">
        <v>80</v>
      </c>
      <c r="B10">
        <v>1000</v>
      </c>
      <c r="C10">
        <v>340.83333333333331</v>
      </c>
      <c r="D10">
        <v>256.24999999999989</v>
      </c>
      <c r="E10">
        <v>117.4513706172751</v>
      </c>
      <c r="F10">
        <v>5.5310952399973754</v>
      </c>
      <c r="G10">
        <v>5</v>
      </c>
    </row>
    <row r="11" spans="1:7" x14ac:dyDescent="0.35">
      <c r="A11">
        <v>80</v>
      </c>
      <c r="B11">
        <v>1400</v>
      </c>
      <c r="C11">
        <v>367.27222222222213</v>
      </c>
      <c r="D11">
        <v>236.5</v>
      </c>
      <c r="E11">
        <v>117.1128873995588</v>
      </c>
      <c r="F11">
        <v>5.5212596400000624</v>
      </c>
      <c r="G11">
        <v>5</v>
      </c>
    </row>
    <row r="12" spans="1:7" x14ac:dyDescent="0.35">
      <c r="A12">
        <v>80</v>
      </c>
      <c r="B12">
        <v>7000</v>
      </c>
      <c r="C12">
        <v>365.27222222222218</v>
      </c>
      <c r="D12">
        <v>180.8888888888888</v>
      </c>
      <c r="E12">
        <v>115.866326236554</v>
      </c>
      <c r="F12">
        <v>5.4601328599994314</v>
      </c>
      <c r="G12">
        <v>5</v>
      </c>
    </row>
    <row r="13" spans="1:7" x14ac:dyDescent="0.35">
      <c r="A13">
        <v>80</v>
      </c>
      <c r="B13">
        <v>14000</v>
      </c>
      <c r="C13">
        <v>340.91111111111121</v>
      </c>
      <c r="D13">
        <v>285.16666666666691</v>
      </c>
      <c r="E13">
        <v>76.960884725799289</v>
      </c>
      <c r="F13">
        <v>5.4756070799950978</v>
      </c>
      <c r="G13">
        <v>5</v>
      </c>
    </row>
    <row r="14" spans="1:7" x14ac:dyDescent="0.35">
      <c r="A14">
        <v>100</v>
      </c>
      <c r="B14">
        <v>100</v>
      </c>
      <c r="C14">
        <v>390.74999999999989</v>
      </c>
      <c r="D14">
        <v>146.0555555555556</v>
      </c>
      <c r="E14">
        <v>230.11671589021671</v>
      </c>
      <c r="F14">
        <v>5.3625999799987767</v>
      </c>
      <c r="G14">
        <v>5</v>
      </c>
    </row>
    <row r="15" spans="1:7" x14ac:dyDescent="0.35">
      <c r="A15">
        <v>100</v>
      </c>
      <c r="B15">
        <v>700</v>
      </c>
      <c r="C15">
        <v>384.83888888888879</v>
      </c>
      <c r="D15">
        <v>236.5</v>
      </c>
      <c r="E15">
        <v>124.2550151756311</v>
      </c>
      <c r="F15">
        <v>5.5137100800027836</v>
      </c>
      <c r="G15">
        <v>5</v>
      </c>
    </row>
    <row r="16" spans="1:7" x14ac:dyDescent="0.35">
      <c r="A16">
        <v>100</v>
      </c>
      <c r="B16">
        <v>1000</v>
      </c>
      <c r="C16">
        <v>381.50000000000011</v>
      </c>
      <c r="D16">
        <v>291.6111111111112</v>
      </c>
      <c r="E16">
        <v>75.858408044116388</v>
      </c>
      <c r="F16">
        <v>5.4969634600041903</v>
      </c>
      <c r="G16">
        <v>5</v>
      </c>
    </row>
    <row r="17" spans="1:7" x14ac:dyDescent="0.35">
      <c r="A17">
        <v>100</v>
      </c>
      <c r="B17">
        <v>1400</v>
      </c>
      <c r="C17">
        <v>343.95555555555552</v>
      </c>
      <c r="D17">
        <v>260.33333333333343</v>
      </c>
      <c r="E17">
        <v>86.262943204891741</v>
      </c>
      <c r="F17">
        <v>5.5060285599931378</v>
      </c>
      <c r="G17">
        <v>5</v>
      </c>
    </row>
    <row r="18" spans="1:7" x14ac:dyDescent="0.35">
      <c r="A18">
        <v>100</v>
      </c>
      <c r="B18">
        <v>7000</v>
      </c>
      <c r="C18">
        <v>374.60555555555561</v>
      </c>
      <c r="D18">
        <v>272.55555555555549</v>
      </c>
      <c r="E18">
        <v>68.246157129635975</v>
      </c>
      <c r="F18">
        <v>5.4916667000070447</v>
      </c>
      <c r="G18">
        <v>5</v>
      </c>
    </row>
    <row r="19" spans="1:7" x14ac:dyDescent="0.35">
      <c r="A19">
        <v>100</v>
      </c>
      <c r="B19">
        <v>14000</v>
      </c>
      <c r="C19">
        <v>313.8555555555555</v>
      </c>
      <c r="D19">
        <v>254.80555555555549</v>
      </c>
      <c r="E19">
        <v>85.742289002899739</v>
      </c>
      <c r="F19">
        <v>5.5734677400003418</v>
      </c>
      <c r="G19">
        <v>5</v>
      </c>
    </row>
    <row r="20" spans="1:7" x14ac:dyDescent="0.35">
      <c r="A20">
        <v>120</v>
      </c>
      <c r="B20">
        <v>100</v>
      </c>
      <c r="C20">
        <v>355.97222222222229</v>
      </c>
      <c r="D20">
        <v>257.25</v>
      </c>
      <c r="E20">
        <v>86.846945687851616</v>
      </c>
      <c r="F20">
        <v>5.4429621199989926</v>
      </c>
      <c r="G20">
        <v>5</v>
      </c>
    </row>
    <row r="21" spans="1:7" x14ac:dyDescent="0.35">
      <c r="A21">
        <v>120</v>
      </c>
      <c r="B21">
        <v>700</v>
      </c>
      <c r="C21">
        <v>334.37222222222209</v>
      </c>
      <c r="D21">
        <v>205</v>
      </c>
      <c r="E21">
        <v>98.745373387476235</v>
      </c>
      <c r="F21">
        <v>5.5039880800031824</v>
      </c>
      <c r="G21">
        <v>5</v>
      </c>
    </row>
    <row r="22" spans="1:7" x14ac:dyDescent="0.35">
      <c r="A22">
        <v>120</v>
      </c>
      <c r="B22">
        <v>1000</v>
      </c>
      <c r="C22">
        <v>380.33888888888879</v>
      </c>
      <c r="D22">
        <v>314.88888888888891</v>
      </c>
      <c r="E22">
        <v>39.725540848162211</v>
      </c>
      <c r="F22">
        <v>5.5235509799997091</v>
      </c>
      <c r="G22">
        <v>5</v>
      </c>
    </row>
    <row r="23" spans="1:7" x14ac:dyDescent="0.35">
      <c r="A23">
        <v>120</v>
      </c>
      <c r="B23">
        <v>1400</v>
      </c>
      <c r="C23">
        <v>284.52222222222218</v>
      </c>
      <c r="D23">
        <v>205.8333333333332</v>
      </c>
      <c r="E23">
        <v>57.211671087654643</v>
      </c>
      <c r="F23">
        <v>5.5634450399957132</v>
      </c>
      <c r="G23">
        <v>5</v>
      </c>
    </row>
    <row r="24" spans="1:7" x14ac:dyDescent="0.35">
      <c r="A24">
        <v>120</v>
      </c>
      <c r="B24">
        <v>7000</v>
      </c>
      <c r="C24">
        <v>362.21111111111111</v>
      </c>
      <c r="D24">
        <v>271.16666666666657</v>
      </c>
      <c r="E24">
        <v>61.101131129535148</v>
      </c>
      <c r="F24">
        <v>5.5722372199961683</v>
      </c>
      <c r="G24">
        <v>5</v>
      </c>
    </row>
    <row r="25" spans="1:7" x14ac:dyDescent="0.35">
      <c r="A25">
        <v>120</v>
      </c>
      <c r="B25">
        <v>14000</v>
      </c>
      <c r="C25">
        <v>305.91666666666669</v>
      </c>
      <c r="D25">
        <v>265.24999999999989</v>
      </c>
      <c r="E25">
        <v>40.619954577480037</v>
      </c>
      <c r="F25">
        <v>5.6160985199967399</v>
      </c>
      <c r="G25">
        <v>5</v>
      </c>
    </row>
    <row r="26" spans="1:7" x14ac:dyDescent="0.35">
      <c r="A26">
        <v>150</v>
      </c>
      <c r="B26">
        <v>100</v>
      </c>
      <c r="C26">
        <v>357.70555555555541</v>
      </c>
      <c r="D26">
        <v>284.41666666666629</v>
      </c>
      <c r="E26">
        <v>56.008482189401498</v>
      </c>
      <c r="F26">
        <v>5.4299830999982079</v>
      </c>
      <c r="G26">
        <v>5</v>
      </c>
    </row>
    <row r="27" spans="1:7" x14ac:dyDescent="0.35">
      <c r="A27">
        <v>150</v>
      </c>
      <c r="B27">
        <v>700</v>
      </c>
      <c r="C27">
        <v>352.43333333333328</v>
      </c>
      <c r="D27">
        <v>263.72222222222211</v>
      </c>
      <c r="E27">
        <v>84.20161219901658</v>
      </c>
      <c r="F27">
        <v>5.6357400600012628</v>
      </c>
      <c r="G27">
        <v>5</v>
      </c>
    </row>
    <row r="28" spans="1:7" x14ac:dyDescent="0.35">
      <c r="A28">
        <v>150</v>
      </c>
      <c r="B28">
        <v>1000</v>
      </c>
      <c r="C28">
        <v>371.71111111111111</v>
      </c>
      <c r="D28">
        <v>349.66666666666669</v>
      </c>
      <c r="E28">
        <v>30.587997928663899</v>
      </c>
      <c r="F28">
        <v>5.5266993599972922</v>
      </c>
      <c r="G28">
        <v>5</v>
      </c>
    </row>
    <row r="29" spans="1:7" x14ac:dyDescent="0.35">
      <c r="A29">
        <v>150</v>
      </c>
      <c r="B29">
        <v>1400</v>
      </c>
      <c r="C29">
        <v>445.72222222222211</v>
      </c>
      <c r="D29">
        <v>270.22222222222211</v>
      </c>
      <c r="E29">
        <v>147.21758771531361</v>
      </c>
      <c r="F29">
        <v>5.5614793999964602</v>
      </c>
      <c r="G29">
        <v>5</v>
      </c>
    </row>
    <row r="30" spans="1:7" x14ac:dyDescent="0.35">
      <c r="A30">
        <v>150</v>
      </c>
      <c r="B30">
        <v>7000</v>
      </c>
      <c r="C30">
        <v>299.02222222222218</v>
      </c>
      <c r="D30">
        <v>158.22222222222231</v>
      </c>
      <c r="E30">
        <v>86.040386278698548</v>
      </c>
      <c r="F30">
        <v>5.6261384600016751</v>
      </c>
      <c r="G30">
        <v>5</v>
      </c>
    </row>
    <row r="31" spans="1:7" x14ac:dyDescent="0.35">
      <c r="A31">
        <v>150</v>
      </c>
      <c r="B31">
        <v>14000</v>
      </c>
      <c r="C31">
        <v>353.51111111111112</v>
      </c>
      <c r="D31">
        <v>272.44444444444451</v>
      </c>
      <c r="E31">
        <v>77.762539677922618</v>
      </c>
      <c r="F31">
        <v>5.5608594799967248</v>
      </c>
      <c r="G31">
        <v>5</v>
      </c>
    </row>
    <row r="32" spans="1:7" x14ac:dyDescent="0.35">
      <c r="A32">
        <v>200</v>
      </c>
      <c r="B32">
        <v>100</v>
      </c>
      <c r="C32">
        <v>348.23888888888882</v>
      </c>
      <c r="D32">
        <v>236.5</v>
      </c>
      <c r="E32">
        <v>104.7148660104202</v>
      </c>
      <c r="F32">
        <v>5.4196387199946914</v>
      </c>
      <c r="G32">
        <v>5</v>
      </c>
    </row>
    <row r="33" spans="1:7" x14ac:dyDescent="0.35">
      <c r="A33">
        <v>200</v>
      </c>
      <c r="B33">
        <v>700</v>
      </c>
      <c r="C33">
        <v>251.87777777777771</v>
      </c>
      <c r="D33">
        <v>152.5</v>
      </c>
      <c r="E33">
        <v>113.7520546551649</v>
      </c>
      <c r="F33">
        <v>5.5230982000008222</v>
      </c>
      <c r="G33">
        <v>5</v>
      </c>
    </row>
    <row r="34" spans="1:7" x14ac:dyDescent="0.35">
      <c r="A34">
        <v>200</v>
      </c>
      <c r="B34">
        <v>1000</v>
      </c>
      <c r="C34">
        <v>329.47222222222217</v>
      </c>
      <c r="D34">
        <v>243.16666666666691</v>
      </c>
      <c r="E34">
        <v>74.380901571024907</v>
      </c>
      <c r="F34">
        <v>6.2214099800039548</v>
      </c>
      <c r="G34">
        <v>5</v>
      </c>
    </row>
    <row r="35" spans="1:7" x14ac:dyDescent="0.35">
      <c r="A35">
        <v>200</v>
      </c>
      <c r="B35">
        <v>1400</v>
      </c>
      <c r="C35">
        <v>392.06666666666649</v>
      </c>
      <c r="D35">
        <v>261.7777777777776</v>
      </c>
      <c r="E35">
        <v>117.7400974840584</v>
      </c>
      <c r="F35">
        <v>6.0082108800008429</v>
      </c>
      <c r="G35">
        <v>5</v>
      </c>
    </row>
    <row r="36" spans="1:7" x14ac:dyDescent="0.35">
      <c r="A36">
        <v>200</v>
      </c>
      <c r="B36">
        <v>7000</v>
      </c>
      <c r="C36">
        <v>310.63333333333333</v>
      </c>
      <c r="D36">
        <v>269.25</v>
      </c>
      <c r="E36">
        <v>49.578907365487112</v>
      </c>
      <c r="F36">
        <v>4.7682365399989068</v>
      </c>
      <c r="G36">
        <v>5</v>
      </c>
    </row>
    <row r="37" spans="1:7" x14ac:dyDescent="0.35">
      <c r="A37">
        <v>200</v>
      </c>
      <c r="B37">
        <v>14000</v>
      </c>
      <c r="C37">
        <v>350.01666666666671</v>
      </c>
      <c r="D37">
        <v>240.13888888888931</v>
      </c>
      <c r="E37">
        <v>121.0509432602552</v>
      </c>
      <c r="F37">
        <v>4.7008947600086683</v>
      </c>
      <c r="G37">
        <v>5</v>
      </c>
    </row>
    <row r="38" spans="1:7" x14ac:dyDescent="0.35">
      <c r="A38">
        <v>500</v>
      </c>
      <c r="B38">
        <v>100</v>
      </c>
      <c r="C38">
        <v>373.23333333333329</v>
      </c>
      <c r="D38">
        <v>297.25</v>
      </c>
      <c r="E38">
        <v>82.444899762893613</v>
      </c>
      <c r="F38">
        <v>4.6498422200005738</v>
      </c>
      <c r="G38">
        <v>5</v>
      </c>
    </row>
    <row r="39" spans="1:7" x14ac:dyDescent="0.35">
      <c r="A39">
        <v>500</v>
      </c>
      <c r="B39">
        <v>700</v>
      </c>
      <c r="C39">
        <v>315.5</v>
      </c>
      <c r="D39">
        <v>267.94444444444451</v>
      </c>
      <c r="E39">
        <v>46.64598169215315</v>
      </c>
      <c r="F39">
        <v>4.6218828399985794</v>
      </c>
      <c r="G39">
        <v>5</v>
      </c>
    </row>
    <row r="40" spans="1:7" x14ac:dyDescent="0.35">
      <c r="A40">
        <v>500</v>
      </c>
      <c r="B40">
        <v>1000</v>
      </c>
      <c r="C40">
        <v>332.17222222222222</v>
      </c>
      <c r="D40">
        <v>262.72222222222229</v>
      </c>
      <c r="E40">
        <v>46.418388823694073</v>
      </c>
      <c r="F40">
        <v>5.027106739993906</v>
      </c>
      <c r="G40">
        <v>5</v>
      </c>
    </row>
    <row r="41" spans="1:7" x14ac:dyDescent="0.35">
      <c r="A41">
        <v>500</v>
      </c>
      <c r="B41">
        <v>1400</v>
      </c>
      <c r="C41">
        <v>283.46111111111111</v>
      </c>
      <c r="D41">
        <v>156.77777777777769</v>
      </c>
      <c r="E41">
        <v>79.82747020919544</v>
      </c>
      <c r="F41">
        <v>4.6757527800014937</v>
      </c>
      <c r="G41">
        <v>5</v>
      </c>
    </row>
    <row r="42" spans="1:7" x14ac:dyDescent="0.35">
      <c r="A42">
        <v>500</v>
      </c>
      <c r="B42">
        <v>7000</v>
      </c>
      <c r="C42">
        <v>350.83333333333331</v>
      </c>
      <c r="D42">
        <v>310.41666666666657</v>
      </c>
      <c r="E42">
        <v>37.668802176435207</v>
      </c>
      <c r="F42">
        <v>4.6905572199961174</v>
      </c>
      <c r="G42">
        <v>5</v>
      </c>
    </row>
    <row r="43" spans="1:7" x14ac:dyDescent="0.35">
      <c r="A43">
        <v>500</v>
      </c>
      <c r="B43">
        <v>14000</v>
      </c>
      <c r="C43">
        <v>430.31111111111107</v>
      </c>
      <c r="D43">
        <v>245</v>
      </c>
      <c r="E43">
        <v>216.55750045446689</v>
      </c>
      <c r="F43">
        <v>4.4197530200035544</v>
      </c>
      <c r="G43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65F2D-4BDB-4332-91AD-88FABCDE77F4}">
  <dimension ref="A1:I10"/>
  <sheetViews>
    <sheetView workbookViewId="0">
      <selection activeCell="B10" sqref="B10"/>
    </sheetView>
  </sheetViews>
  <sheetFormatPr defaultRowHeight="14.5" x14ac:dyDescent="0.35"/>
  <cols>
    <col min="2" max="3" width="14.7265625" bestFit="1" customWidth="1"/>
    <col min="4" max="6" width="15.7265625" bestFit="1" customWidth="1"/>
    <col min="7" max="7" width="16.7265625" bestFit="1" customWidth="1"/>
  </cols>
  <sheetData>
    <row r="1" spans="1:9" x14ac:dyDescent="0.3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9" x14ac:dyDescent="0.35">
      <c r="A2">
        <v>50</v>
      </c>
      <c r="B2">
        <f>SUMIFS(Samenvatting!$C$2:$C$43,Samenvatting!$A$2:$A$43,$A2,Samenvatting!$B$2:$B$43,VALUE(SUBSTITUTE(B$1,"cooling_it = ","")))</f>
        <v>490.90555555555528</v>
      </c>
      <c r="C2">
        <f>SUMIFS(Samenvatting!$C$2:$C$43,Samenvatting!$A$2:$A$43,$A2,Samenvatting!$B$2:$B$43,VALUE(SUBSTITUTE(C$1,"cooling_it = ","")))</f>
        <v>629.69444444444434</v>
      </c>
      <c r="D2">
        <f>SUMIFS(Samenvatting!$C$2:$C$43,Samenvatting!$A$2:$A$43,$A2,Samenvatting!$B$2:$B$43,VALUE(SUBSTITUTE(D$1,"cooling_it = ","")))</f>
        <v>635.65555555555534</v>
      </c>
      <c r="E2">
        <f>SUMIFS(Samenvatting!$C$2:$C$43,Samenvatting!$A$2:$A$43,$A2,Samenvatting!$B$2:$B$43,VALUE(SUBSTITUTE(E$1,"cooling_it = ","")))</f>
        <v>479.70555555555552</v>
      </c>
      <c r="F2">
        <f>SUMIFS(Samenvatting!$C$2:$C$43,Samenvatting!$A$2:$A$43,$A2,Samenvatting!$B$2:$B$43,VALUE(SUBSTITUTE(F$1,"cooling_it = ","")))</f>
        <v>553.83888888888885</v>
      </c>
      <c r="G2">
        <f>SUMIFS(Samenvatting!$C$2:$C$43,Samenvatting!$A$2:$A$43,$A2,Samenvatting!$B$2:$B$43,VALUE(SUBSTITUTE(G$1,"cooling_it = ","")))</f>
        <v>361.72222222222217</v>
      </c>
      <c r="I2">
        <f>AVERAGE(B2:G2)</f>
        <v>525.25370370370365</v>
      </c>
    </row>
    <row r="3" spans="1:9" x14ac:dyDescent="0.35">
      <c r="A3">
        <v>80</v>
      </c>
      <c r="B3">
        <f>SUMIFS(Samenvatting!$C$2:$C$43,Samenvatting!$A$2:$A$43,$A3,Samenvatting!$B$2:$B$43,VALUE(SUBSTITUTE(B$1,"cooling_it = ","")))</f>
        <v>399.56111111111102</v>
      </c>
      <c r="C3">
        <f>SUMIFS(Samenvatting!$C$2:$C$43,Samenvatting!$A$2:$A$43,$A3,Samenvatting!$B$2:$B$43,VALUE(SUBSTITUTE(C$1,"cooling_it = ","")))</f>
        <v>406.81111111111107</v>
      </c>
      <c r="D3">
        <f>SUMIFS(Samenvatting!$C$2:$C$43,Samenvatting!$A$2:$A$43,$A3,Samenvatting!$B$2:$B$43,VALUE(SUBSTITUTE(D$1,"cooling_it = ","")))</f>
        <v>340.83333333333331</v>
      </c>
      <c r="E3">
        <f>SUMIFS(Samenvatting!$C$2:$C$43,Samenvatting!$A$2:$A$43,$A3,Samenvatting!$B$2:$B$43,VALUE(SUBSTITUTE(E$1,"cooling_it = ","")))</f>
        <v>367.27222222222213</v>
      </c>
      <c r="F3">
        <f>SUMIFS(Samenvatting!$C$2:$C$43,Samenvatting!$A$2:$A$43,$A3,Samenvatting!$B$2:$B$43,VALUE(SUBSTITUTE(F$1,"cooling_it = ","")))</f>
        <v>365.27222222222218</v>
      </c>
      <c r="G3">
        <f>SUMIFS(Samenvatting!$C$2:$C$43,Samenvatting!$A$2:$A$43,$A3,Samenvatting!$B$2:$B$43,VALUE(SUBSTITUTE(G$1,"cooling_it = ","")))</f>
        <v>340.91111111111121</v>
      </c>
      <c r="I3">
        <f t="shared" ref="I3:I8" si="0">AVERAGE(B3:G3)</f>
        <v>370.11018518518512</v>
      </c>
    </row>
    <row r="4" spans="1:9" x14ac:dyDescent="0.35">
      <c r="A4">
        <v>100</v>
      </c>
      <c r="B4">
        <f>SUMIFS(Samenvatting!$C$2:$C$43,Samenvatting!$A$2:$A$43,$A4,Samenvatting!$B$2:$B$43,VALUE(SUBSTITUTE(B$1,"cooling_it = ","")))</f>
        <v>390.74999999999989</v>
      </c>
      <c r="C4">
        <f>SUMIFS(Samenvatting!$C$2:$C$43,Samenvatting!$A$2:$A$43,$A4,Samenvatting!$B$2:$B$43,VALUE(SUBSTITUTE(C$1,"cooling_it = ","")))</f>
        <v>384.83888888888879</v>
      </c>
      <c r="D4">
        <f>SUMIFS(Samenvatting!$C$2:$C$43,Samenvatting!$A$2:$A$43,$A4,Samenvatting!$B$2:$B$43,VALUE(SUBSTITUTE(D$1,"cooling_it = ","")))</f>
        <v>381.50000000000011</v>
      </c>
      <c r="E4">
        <f>SUMIFS(Samenvatting!$C$2:$C$43,Samenvatting!$A$2:$A$43,$A4,Samenvatting!$B$2:$B$43,VALUE(SUBSTITUTE(E$1,"cooling_it = ","")))</f>
        <v>343.95555555555552</v>
      </c>
      <c r="F4">
        <f>SUMIFS(Samenvatting!$C$2:$C$43,Samenvatting!$A$2:$A$43,$A4,Samenvatting!$B$2:$B$43,VALUE(SUBSTITUTE(F$1,"cooling_it = ","")))</f>
        <v>374.60555555555561</v>
      </c>
      <c r="G4">
        <f>SUMIFS(Samenvatting!$C$2:$C$43,Samenvatting!$A$2:$A$43,$A4,Samenvatting!$B$2:$B$43,VALUE(SUBSTITUTE(G$1,"cooling_it = ","")))</f>
        <v>313.8555555555555</v>
      </c>
      <c r="I4">
        <f t="shared" si="0"/>
        <v>364.9175925925926</v>
      </c>
    </row>
    <row r="5" spans="1:9" x14ac:dyDescent="0.35">
      <c r="A5">
        <v>120</v>
      </c>
      <c r="B5">
        <f>SUMIFS(Samenvatting!$C$2:$C$43,Samenvatting!$A$2:$A$43,$A5,Samenvatting!$B$2:$B$43,VALUE(SUBSTITUTE(B$1,"cooling_it = ","")))</f>
        <v>355.97222222222229</v>
      </c>
      <c r="C5">
        <f>SUMIFS(Samenvatting!$C$2:$C$43,Samenvatting!$A$2:$A$43,$A5,Samenvatting!$B$2:$B$43,VALUE(SUBSTITUTE(C$1,"cooling_it = ","")))</f>
        <v>334.37222222222209</v>
      </c>
      <c r="D5">
        <f>SUMIFS(Samenvatting!$C$2:$C$43,Samenvatting!$A$2:$A$43,$A5,Samenvatting!$B$2:$B$43,VALUE(SUBSTITUTE(D$1,"cooling_it = ","")))</f>
        <v>380.33888888888879</v>
      </c>
      <c r="E5">
        <f>SUMIFS(Samenvatting!$C$2:$C$43,Samenvatting!$A$2:$A$43,$A5,Samenvatting!$B$2:$B$43,VALUE(SUBSTITUTE(E$1,"cooling_it = ","")))</f>
        <v>284.52222222222218</v>
      </c>
      <c r="F5">
        <f>SUMIFS(Samenvatting!$C$2:$C$43,Samenvatting!$A$2:$A$43,$A5,Samenvatting!$B$2:$B$43,VALUE(SUBSTITUTE(F$1,"cooling_it = ","")))</f>
        <v>362.21111111111111</v>
      </c>
      <c r="G5">
        <f>SUMIFS(Samenvatting!$C$2:$C$43,Samenvatting!$A$2:$A$43,$A5,Samenvatting!$B$2:$B$43,VALUE(SUBSTITUTE(G$1,"cooling_it = ","")))</f>
        <v>305.91666666666669</v>
      </c>
      <c r="I5">
        <f t="shared" si="0"/>
        <v>337.22222222222223</v>
      </c>
    </row>
    <row r="6" spans="1:9" x14ac:dyDescent="0.35">
      <c r="A6">
        <v>150</v>
      </c>
      <c r="B6">
        <f>SUMIFS(Samenvatting!$C$2:$C$43,Samenvatting!$A$2:$A$43,$A6,Samenvatting!$B$2:$B$43,VALUE(SUBSTITUTE(B$1,"cooling_it = ","")))</f>
        <v>357.70555555555541</v>
      </c>
      <c r="C6">
        <f>SUMIFS(Samenvatting!$C$2:$C$43,Samenvatting!$A$2:$A$43,$A6,Samenvatting!$B$2:$B$43,VALUE(SUBSTITUTE(C$1,"cooling_it = ","")))</f>
        <v>352.43333333333328</v>
      </c>
      <c r="D6">
        <f>SUMIFS(Samenvatting!$C$2:$C$43,Samenvatting!$A$2:$A$43,$A6,Samenvatting!$B$2:$B$43,VALUE(SUBSTITUTE(D$1,"cooling_it = ","")))</f>
        <v>371.71111111111111</v>
      </c>
      <c r="E6">
        <f>SUMIFS(Samenvatting!$C$2:$C$43,Samenvatting!$A$2:$A$43,$A6,Samenvatting!$B$2:$B$43,VALUE(SUBSTITUTE(E$1,"cooling_it = ","")))</f>
        <v>445.72222222222211</v>
      </c>
      <c r="F6">
        <f>SUMIFS(Samenvatting!$C$2:$C$43,Samenvatting!$A$2:$A$43,$A6,Samenvatting!$B$2:$B$43,VALUE(SUBSTITUTE(F$1,"cooling_it = ","")))</f>
        <v>299.02222222222218</v>
      </c>
      <c r="G6">
        <f>SUMIFS(Samenvatting!$C$2:$C$43,Samenvatting!$A$2:$A$43,$A6,Samenvatting!$B$2:$B$43,VALUE(SUBSTITUTE(G$1,"cooling_it = ","")))</f>
        <v>353.51111111111112</v>
      </c>
      <c r="I6">
        <f t="shared" si="0"/>
        <v>363.35092592592588</v>
      </c>
    </row>
    <row r="7" spans="1:9" x14ac:dyDescent="0.35">
      <c r="A7">
        <v>200</v>
      </c>
      <c r="B7">
        <f>SUMIFS(Samenvatting!$C$2:$C$43,Samenvatting!$A$2:$A$43,$A7,Samenvatting!$B$2:$B$43,VALUE(SUBSTITUTE(B$1,"cooling_it = ","")))</f>
        <v>348.23888888888882</v>
      </c>
      <c r="C7">
        <f>SUMIFS(Samenvatting!$C$2:$C$43,Samenvatting!$A$2:$A$43,$A7,Samenvatting!$B$2:$B$43,VALUE(SUBSTITUTE(C$1,"cooling_it = ","")))</f>
        <v>251.87777777777771</v>
      </c>
      <c r="D7">
        <f>SUMIFS(Samenvatting!$C$2:$C$43,Samenvatting!$A$2:$A$43,$A7,Samenvatting!$B$2:$B$43,VALUE(SUBSTITUTE(D$1,"cooling_it = ","")))</f>
        <v>329.47222222222217</v>
      </c>
      <c r="E7">
        <f>SUMIFS(Samenvatting!$C$2:$C$43,Samenvatting!$A$2:$A$43,$A7,Samenvatting!$B$2:$B$43,VALUE(SUBSTITUTE(E$1,"cooling_it = ","")))</f>
        <v>392.06666666666649</v>
      </c>
      <c r="F7">
        <f>SUMIFS(Samenvatting!$C$2:$C$43,Samenvatting!$A$2:$A$43,$A7,Samenvatting!$B$2:$B$43,VALUE(SUBSTITUTE(F$1,"cooling_it = ","")))</f>
        <v>310.63333333333333</v>
      </c>
      <c r="G7">
        <f>SUMIFS(Samenvatting!$C$2:$C$43,Samenvatting!$A$2:$A$43,$A7,Samenvatting!$B$2:$B$43,VALUE(SUBSTITUTE(G$1,"cooling_it = ","")))</f>
        <v>350.01666666666671</v>
      </c>
      <c r="I7">
        <f t="shared" si="0"/>
        <v>330.38425925925918</v>
      </c>
    </row>
    <row r="8" spans="1:9" x14ac:dyDescent="0.35">
      <c r="A8">
        <v>500</v>
      </c>
      <c r="B8">
        <f>SUMIFS(Samenvatting!$C$2:$C$43,Samenvatting!$A$2:$A$43,$A8,Samenvatting!$B$2:$B$43,VALUE(SUBSTITUTE(B$1,"cooling_it = ","")))</f>
        <v>373.23333333333329</v>
      </c>
      <c r="C8">
        <f>SUMIFS(Samenvatting!$C$2:$C$43,Samenvatting!$A$2:$A$43,$A8,Samenvatting!$B$2:$B$43,VALUE(SUBSTITUTE(C$1,"cooling_it = ","")))</f>
        <v>315.5</v>
      </c>
      <c r="D8">
        <f>SUMIFS(Samenvatting!$C$2:$C$43,Samenvatting!$A$2:$A$43,$A8,Samenvatting!$B$2:$B$43,VALUE(SUBSTITUTE(D$1,"cooling_it = ","")))</f>
        <v>332.17222222222222</v>
      </c>
      <c r="E8">
        <f>SUMIFS(Samenvatting!$C$2:$C$43,Samenvatting!$A$2:$A$43,$A8,Samenvatting!$B$2:$B$43,VALUE(SUBSTITUTE(E$1,"cooling_it = ","")))</f>
        <v>283.46111111111111</v>
      </c>
      <c r="F8">
        <f>SUMIFS(Samenvatting!$C$2:$C$43,Samenvatting!$A$2:$A$43,$A8,Samenvatting!$B$2:$B$43,VALUE(SUBSTITUTE(F$1,"cooling_it = ","")))</f>
        <v>350.83333333333331</v>
      </c>
      <c r="G8">
        <f>SUMIFS(Samenvatting!$C$2:$C$43,Samenvatting!$A$2:$A$43,$A8,Samenvatting!$B$2:$B$43,VALUE(SUBSTITUTE(G$1,"cooling_it = ","")))</f>
        <v>430.31111111111107</v>
      </c>
      <c r="I8">
        <f t="shared" si="0"/>
        <v>347.58518518518514</v>
      </c>
    </row>
    <row r="10" spans="1:9" x14ac:dyDescent="0.35">
      <c r="B10">
        <f>AVERAGE(B2:B8)</f>
        <v>388.05238095238076</v>
      </c>
      <c r="C10">
        <f t="shared" ref="C10:G10" si="1">AVERAGE(C2:C8)</f>
        <v>382.21825396825392</v>
      </c>
      <c r="D10">
        <f t="shared" si="1"/>
        <v>395.95476190476177</v>
      </c>
      <c r="E10">
        <f t="shared" si="1"/>
        <v>370.95793650793649</v>
      </c>
      <c r="F10">
        <f t="shared" si="1"/>
        <v>373.77380952380958</v>
      </c>
      <c r="G10">
        <f t="shared" si="1"/>
        <v>350.89206349206353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/>
  </sheetViews>
  <sheetFormatPr defaultRowHeight="14.5" x14ac:dyDescent="0.35"/>
  <sheetData>
    <row r="1" spans="1:7" x14ac:dyDescent="0.35">
      <c r="A1" t="s">
        <v>3</v>
      </c>
      <c r="B1">
        <v>100</v>
      </c>
      <c r="C1">
        <v>700</v>
      </c>
      <c r="D1">
        <v>1000</v>
      </c>
      <c r="E1">
        <v>1400</v>
      </c>
      <c r="F1">
        <v>7000</v>
      </c>
      <c r="G1">
        <v>14000</v>
      </c>
    </row>
    <row r="2" spans="1:7" x14ac:dyDescent="0.35">
      <c r="A2">
        <v>50</v>
      </c>
      <c r="B2">
        <v>490.90555555555528</v>
      </c>
      <c r="C2">
        <v>629.69444444444434</v>
      </c>
      <c r="D2">
        <v>635.65555555555534</v>
      </c>
      <c r="E2">
        <v>479.70555555555552</v>
      </c>
      <c r="F2">
        <v>553.83888888888885</v>
      </c>
      <c r="G2">
        <v>361.72222222222217</v>
      </c>
    </row>
    <row r="3" spans="1:7" x14ac:dyDescent="0.35">
      <c r="A3">
        <v>80</v>
      </c>
      <c r="B3">
        <v>399.56111111111102</v>
      </c>
      <c r="C3">
        <v>406.81111111111107</v>
      </c>
      <c r="D3">
        <v>340.83333333333331</v>
      </c>
      <c r="E3">
        <v>367.27222222222213</v>
      </c>
      <c r="F3">
        <v>365.27222222222218</v>
      </c>
      <c r="G3">
        <v>340.91111111111121</v>
      </c>
    </row>
    <row r="4" spans="1:7" x14ac:dyDescent="0.35">
      <c r="A4">
        <v>100</v>
      </c>
      <c r="B4">
        <v>390.74999999999989</v>
      </c>
      <c r="C4">
        <v>384.83888888888879</v>
      </c>
      <c r="D4">
        <v>381.50000000000011</v>
      </c>
      <c r="E4">
        <v>343.95555555555552</v>
      </c>
      <c r="F4">
        <v>374.60555555555561</v>
      </c>
      <c r="G4">
        <v>313.8555555555555</v>
      </c>
    </row>
    <row r="5" spans="1:7" x14ac:dyDescent="0.35">
      <c r="A5">
        <v>120</v>
      </c>
      <c r="B5">
        <v>355.97222222222229</v>
      </c>
      <c r="C5">
        <v>334.37222222222209</v>
      </c>
      <c r="D5">
        <v>380.33888888888879</v>
      </c>
      <c r="E5">
        <v>284.52222222222218</v>
      </c>
      <c r="F5">
        <v>362.21111111111111</v>
      </c>
      <c r="G5">
        <v>305.91666666666669</v>
      </c>
    </row>
    <row r="6" spans="1:7" x14ac:dyDescent="0.35">
      <c r="A6">
        <v>150</v>
      </c>
      <c r="B6">
        <v>357.70555555555541</v>
      </c>
      <c r="C6">
        <v>352.43333333333328</v>
      </c>
      <c r="D6">
        <v>371.71111111111111</v>
      </c>
      <c r="E6">
        <v>445.72222222222211</v>
      </c>
      <c r="F6">
        <v>299.02222222222218</v>
      </c>
      <c r="G6">
        <v>353.51111111111112</v>
      </c>
    </row>
    <row r="7" spans="1:7" x14ac:dyDescent="0.35">
      <c r="A7">
        <v>200</v>
      </c>
      <c r="B7">
        <v>348.23888888888882</v>
      </c>
      <c r="C7">
        <v>251.87777777777771</v>
      </c>
      <c r="D7">
        <v>329.47222222222217</v>
      </c>
      <c r="E7">
        <v>392.06666666666649</v>
      </c>
      <c r="F7">
        <v>310.63333333333333</v>
      </c>
      <c r="G7">
        <v>350.01666666666671</v>
      </c>
    </row>
    <row r="8" spans="1:7" x14ac:dyDescent="0.35">
      <c r="A8">
        <v>500</v>
      </c>
      <c r="B8">
        <v>373.23333333333329</v>
      </c>
      <c r="C8">
        <v>315.5</v>
      </c>
      <c r="D8">
        <v>332.17222222222222</v>
      </c>
      <c r="E8">
        <v>283.46111111111111</v>
      </c>
      <c r="F8">
        <v>350.83333333333331</v>
      </c>
      <c r="G8">
        <v>430.31111111111107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75B78-C560-45B4-82DD-6832EAF8A444}">
  <dimension ref="A1:N50"/>
  <sheetViews>
    <sheetView tabSelected="1" topLeftCell="E4" zoomScaleNormal="100" workbookViewId="0">
      <selection activeCell="AA23" sqref="AA23"/>
    </sheetView>
  </sheetViews>
  <sheetFormatPr defaultRowHeight="14.5" x14ac:dyDescent="0.35"/>
  <cols>
    <col min="1" max="1" width="6.54296875" bestFit="1" customWidth="1"/>
    <col min="2" max="3" width="13.81640625" bestFit="1" customWidth="1"/>
    <col min="4" max="6" width="14.81640625" bestFit="1" customWidth="1"/>
    <col min="7" max="7" width="15.81640625" bestFit="1" customWidth="1"/>
    <col min="9" max="9" width="11.81640625" bestFit="1" customWidth="1"/>
    <col min="10" max="10" width="10.26953125" bestFit="1" customWidth="1"/>
  </cols>
  <sheetData>
    <row r="1" spans="1:14" x14ac:dyDescent="0.35">
      <c r="A1" s="3" t="s">
        <v>3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/>
      <c r="I1" s="3" t="s">
        <v>23</v>
      </c>
      <c r="J1" s="3" t="s">
        <v>25</v>
      </c>
      <c r="N1" t="s">
        <v>30</v>
      </c>
    </row>
    <row r="2" spans="1:14" x14ac:dyDescent="0.35">
      <c r="A2" s="1">
        <v>50</v>
      </c>
      <c r="B2" s="1">
        <f>AVERAGEIFS('Alle experimenten'!$F:$F,'Alle experimenten'!$D:$D,$A2,'Alle experimenten'!$C:$C,VALUE(TRIM(_xlfn.TEXTAFTER(B$1,"="))))</f>
        <v>490.90555555555528</v>
      </c>
      <c r="C2" s="1">
        <f>AVERAGEIFS('Alle experimenten'!$F:$F,'Alle experimenten'!$D:$D,$A2,'Alle experimenten'!$C:$C,VALUE(TRIM(_xlfn.TEXTAFTER(C$1,"="))))</f>
        <v>631.79444444444425</v>
      </c>
      <c r="D2" s="1">
        <f>AVERAGEIFS('Alle experimenten'!$F:$F,'Alle experimenten'!$D:$D,$A2,'Alle experimenten'!$C:$C,VALUE(TRIM(_xlfn.TEXTAFTER(D$1,"="))))</f>
        <v>636.75555555555525</v>
      </c>
      <c r="E2" s="1">
        <f>AVERAGEIFS('Alle experimenten'!$F:$F,'Alle experimenten'!$D:$D,$A2,'Alle experimenten'!$C:$C,VALUE(TRIM(_xlfn.TEXTAFTER(E$1,"="))))</f>
        <v>479.70555555555546</v>
      </c>
      <c r="F2" s="1">
        <f>AVERAGEIFS('Alle experimenten'!$F:$F,'Alle experimenten'!$D:$D,$A2,'Alle experimenten'!$C:$C,VALUE(TRIM(_xlfn.TEXTAFTER(F$1,"="))))</f>
        <v>568.11111111111109</v>
      </c>
      <c r="G2" s="1">
        <f>AVERAGEIFS('Alle experimenten'!$F:$F,'Alle experimenten'!$D:$D,$A2,'Alle experimenten'!$C:$C,VALUE(TRIM(_xlfn.TEXTAFTER(G$1,"="))))</f>
        <v>362.92222222222222</v>
      </c>
      <c r="H2" s="3"/>
      <c r="I2" s="3"/>
      <c r="N2" s="8" t="s">
        <v>27</v>
      </c>
    </row>
    <row r="3" spans="1:14" x14ac:dyDescent="0.35">
      <c r="A3" s="2">
        <v>80</v>
      </c>
      <c r="B3" s="2">
        <f>AVERAGEIFS('Alle experimenten'!$F:$F,'Alle experimenten'!$D:$D,$A3,'Alle experimenten'!$C:$C,VALUE(TRIM(_xlfn.TEXTAFTER(B$1,"="))))</f>
        <v>425.76111111111095</v>
      </c>
      <c r="C3" s="2">
        <f>AVERAGEIFS('Alle experimenten'!$F:$F,'Alle experimenten'!$D:$D,$A3,'Alle experimenten'!$C:$C,VALUE(TRIM(_xlfn.TEXTAFTER(C$1,"="))))</f>
        <v>412.57777777777773</v>
      </c>
      <c r="D3" s="2">
        <f>AVERAGEIFS('Alle experimenten'!$F:$F,'Alle experimenten'!$D:$D,$A3,'Alle experimenten'!$C:$C,VALUE(TRIM(_xlfn.TEXTAFTER(D$1,"="))))</f>
        <v>340.83333333333337</v>
      </c>
      <c r="E3" s="2">
        <f>AVERAGEIFS('Alle experimenten'!$F:$F,'Alle experimenten'!$D:$D,$A3,'Alle experimenten'!$C:$C,VALUE(TRIM(_xlfn.TEXTAFTER(E$1,"="))))</f>
        <v>367.27222222222213</v>
      </c>
      <c r="F3" s="2">
        <f>AVERAGEIFS('Alle experimenten'!$F:$F,'Alle experimenten'!$D:$D,$A3,'Alle experimenten'!$C:$C,VALUE(TRIM(_xlfn.TEXTAFTER(F$1,"="))))</f>
        <v>367.6722222222221</v>
      </c>
      <c r="G3" s="2">
        <f>AVERAGEIFS('Alle experimenten'!$F:$F,'Alle experimenten'!$D:$D,$A3,'Alle experimenten'!$C:$C,VALUE(TRIM(_xlfn.TEXTAFTER(G$1,"="))))</f>
        <v>340.91111111111115</v>
      </c>
      <c r="H3" s="2"/>
      <c r="I3" s="2">
        <f>AVERAGE(C3:G3)</f>
        <v>365.8533333333333</v>
      </c>
      <c r="J3" s="5" cm="1">
        <f t="array" ref="J3">_xlfn.STDEV.S(_xlfn._xlws.FILTER('Alle experimenten'!$F$2:$F$1000,'Alle experimenten'!$D$2:$D$1000=A3))</f>
        <v>101.25638696181393</v>
      </c>
    </row>
    <row r="4" spans="1:14" x14ac:dyDescent="0.35">
      <c r="A4" s="2">
        <v>100</v>
      </c>
      <c r="B4" s="2">
        <f>AVERAGEIFS('Alle experimenten'!$F:$F,'Alle experimenten'!$D:$D,$A4,'Alle experimenten'!$C:$C,VALUE(TRIM(_xlfn.TEXTAFTER(B$1,"="))))</f>
        <v>390.74999999999989</v>
      </c>
      <c r="C4" s="2">
        <f>AVERAGEIFS('Alle experimenten'!$F:$F,'Alle experimenten'!$D:$D,$A4,'Alle experimenten'!$C:$C,VALUE(TRIM(_xlfn.TEXTAFTER(C$1,"="))))</f>
        <v>388.67222222222216</v>
      </c>
      <c r="D4" s="2">
        <f>AVERAGEIFS('Alle experimenten'!$F:$F,'Alle experimenten'!$D:$D,$A4,'Alle experimenten'!$C:$C,VALUE(TRIM(_xlfn.TEXTAFTER(D$1,"="))))</f>
        <v>383.4</v>
      </c>
      <c r="E4" s="2">
        <f>AVERAGEIFS('Alle experimenten'!$F:$F,'Alle experimenten'!$D:$D,$A4,'Alle experimenten'!$C:$C,VALUE(TRIM(_xlfn.TEXTAFTER(E$1,"="))))</f>
        <v>343.95555555555552</v>
      </c>
      <c r="F4" s="2">
        <f>AVERAGEIFS('Alle experimenten'!$F:$F,'Alle experimenten'!$D:$D,$A4,'Alle experimenten'!$C:$C,VALUE(TRIM(_xlfn.TEXTAFTER(F$1,"="))))</f>
        <v>374.60555555555555</v>
      </c>
      <c r="G4" s="2">
        <f>AVERAGEIFS('Alle experimenten'!$F:$F,'Alle experimenten'!$D:$D,$A4,'Alle experimenten'!$C:$C,VALUE(TRIM(_xlfn.TEXTAFTER(G$1,"="))))</f>
        <v>314.52222222222213</v>
      </c>
      <c r="H4" s="2"/>
      <c r="I4" s="2">
        <f t="shared" ref="I4" si="0">AVERAGE(C4:G4)</f>
        <v>361.03111111111104</v>
      </c>
      <c r="J4" s="5" cm="1">
        <f t="array" ref="J4">_xlfn.STDEV.S(_xlfn._xlws.FILTER('Alle experimenten'!$F$2:$F$1000,'Alle experimenten'!$D$2:$D$1000=A4))</f>
        <v>116.72029457180238</v>
      </c>
    </row>
    <row r="5" spans="1:14" x14ac:dyDescent="0.35">
      <c r="A5" s="3">
        <v>120</v>
      </c>
      <c r="B5" s="6">
        <f>AVERAGEIFS('Alle experimenten'!$F:$F,'Alle experimenten'!$D:$D,$A5,'Alle experimenten'!$C:$C,VALUE(TRIM(_xlfn.TEXTAFTER(B$1,"="))))</f>
        <v>355.97222222222223</v>
      </c>
      <c r="C5" s="3">
        <f>AVERAGEIFS('Alle experimenten'!$F:$F,'Alle experimenten'!$D:$D,$A5,'Alle experimenten'!$C:$C,VALUE(TRIM(_xlfn.TEXTAFTER(C$1,"="))))</f>
        <v>334.37222222222215</v>
      </c>
      <c r="D5" s="3">
        <f>AVERAGEIFS('Alle experimenten'!$F:$F,'Alle experimenten'!$D:$D,$A5,'Alle experimenten'!$C:$C,VALUE(TRIM(_xlfn.TEXTAFTER(D$1,"="))))</f>
        <v>380.50555555555547</v>
      </c>
      <c r="E5" s="3">
        <f>AVERAGEIFS('Alle experimenten'!$F:$F,'Alle experimenten'!$D:$D,$A5,'Alle experimenten'!$C:$C,VALUE(TRIM(_xlfn.TEXTAFTER(E$1,"="))))</f>
        <v>341.56666666666666</v>
      </c>
      <c r="F5" s="3">
        <f>AVERAGEIFS('Alle experimenten'!$F:$F,'Alle experimenten'!$D:$D,$A5,'Alle experimenten'!$C:$C,VALUE(TRIM(_xlfn.TEXTAFTER(F$1,"="))))</f>
        <v>366.1444444444445</v>
      </c>
      <c r="G5" s="6">
        <f>AVERAGEIFS('Alle experimenten'!$F:$F,'Alle experimenten'!$D:$D,$A5,'Alle experimenten'!$C:$C,VALUE(TRIM(_xlfn.TEXTAFTER(G$1,"="))))</f>
        <v>310.35000000000002</v>
      </c>
      <c r="H5" s="3"/>
      <c r="I5" s="3">
        <f>AVERAGE(C5:F5)</f>
        <v>355.64722222222224</v>
      </c>
      <c r="J5" s="4" cm="1">
        <f t="array" ref="J5">_xlfn.STDEV.S(_xlfn._xlws.FILTER('Alle experimenten'!$F$2:$F$1000,'Alle experimenten'!$D$2:$D$1000=A5))</f>
        <v>73.808441403547434</v>
      </c>
    </row>
    <row r="6" spans="1:14" x14ac:dyDescent="0.35">
      <c r="A6" s="3">
        <v>150</v>
      </c>
      <c r="B6" s="6">
        <f>AVERAGEIFS('Alle experimenten'!$F:$F,'Alle experimenten'!$D:$D,$A6,'Alle experimenten'!$C:$C,VALUE(TRIM(_xlfn.TEXTAFTER(B$1,"="))))</f>
        <v>364.37222222222204</v>
      </c>
      <c r="C6" s="3">
        <f>AVERAGEIFS('Alle experimenten'!$F:$F,'Alle experimenten'!$D:$D,$A6,'Alle experimenten'!$C:$C,VALUE(TRIM(_xlfn.TEXTAFTER(C$1,"="))))</f>
        <v>384.11666666666667</v>
      </c>
      <c r="D6" s="3">
        <f>AVERAGEIFS('Alle experimenten'!$F:$F,'Alle experimenten'!$D:$D,$A6,'Alle experimenten'!$C:$C,VALUE(TRIM(_xlfn.TEXTAFTER(D$1,"="))))</f>
        <v>371.71111111111105</v>
      </c>
      <c r="E6" s="3">
        <f>AVERAGEIFS('Alle experimenten'!$F:$F,'Alle experimenten'!$D:$D,$A6,'Alle experimenten'!$C:$C,VALUE(TRIM(_xlfn.TEXTAFTER(E$1,"="))))</f>
        <v>449.72222222222217</v>
      </c>
      <c r="F6" s="3">
        <f>AVERAGEIFS('Alle experimenten'!$F:$F,'Alle experimenten'!$D:$D,$A6,'Alle experimenten'!$C:$C,VALUE(TRIM(_xlfn.TEXTAFTER(F$1,"="))))</f>
        <v>299.24444444444447</v>
      </c>
      <c r="G6" s="6">
        <f>AVERAGEIFS('Alle experimenten'!$F:$F,'Alle experimenten'!$D:$D,$A6,'Alle experimenten'!$C:$C,VALUE(TRIM(_xlfn.TEXTAFTER(G$1,"="))))</f>
        <v>353.84444444444443</v>
      </c>
      <c r="H6" s="3"/>
      <c r="I6" s="3">
        <f t="shared" ref="I6:I8" si="1">AVERAGE(C6:F6)</f>
        <v>376.19861111111112</v>
      </c>
      <c r="J6" s="4" cm="1">
        <f t="array" ref="J6">_xlfn.STDEV.S(_xlfn._xlws.FILTER('Alle experimenten'!$F$2:$F$1000,'Alle experimenten'!$D$2:$D$1000=A6))</f>
        <v>100.98374280994841</v>
      </c>
    </row>
    <row r="7" spans="1:14" x14ac:dyDescent="0.35">
      <c r="A7" s="3">
        <v>200</v>
      </c>
      <c r="B7" s="6">
        <f>AVERAGEIFS('Alle experimenten'!$F:$F,'Alle experimenten'!$D:$D,$A7,'Alle experimenten'!$C:$C,VALUE(TRIM(_xlfn.TEXTAFTER(B$1,"="))))</f>
        <v>359.87222222222215</v>
      </c>
      <c r="C7" s="3">
        <f>AVERAGEIFS('Alle experimenten'!$F:$F,'Alle experimenten'!$D:$D,$A7,'Alle experimenten'!$C:$C,VALUE(TRIM(_xlfn.TEXTAFTER(C$1,"="))))</f>
        <v>252.81111111111105</v>
      </c>
      <c r="D7" s="3">
        <f>AVERAGEIFS('Alle experimenten'!$F:$F,'Alle experimenten'!$D:$D,$A7,'Alle experimenten'!$C:$C,VALUE(TRIM(_xlfn.TEXTAFTER(D$1,"="))))</f>
        <v>334.13888888888891</v>
      </c>
      <c r="E7" s="3">
        <f>AVERAGEIFS('Alle experimenten'!$F:$F,'Alle experimenten'!$D:$D,$A7,'Alle experimenten'!$C:$C,VALUE(TRIM(_xlfn.TEXTAFTER(E$1,"="))))</f>
        <v>392.06666666666655</v>
      </c>
      <c r="F7" s="3">
        <f>AVERAGEIFS('Alle experimenten'!$F:$F,'Alle experimenten'!$D:$D,$A7,'Alle experimenten'!$C:$C,VALUE(TRIM(_xlfn.TEXTAFTER(F$1,"="))))</f>
        <v>333.29999999999995</v>
      </c>
      <c r="G7" s="6">
        <f>AVERAGEIFS('Alle experimenten'!$F:$F,'Alle experimenten'!$D:$D,$A7,'Alle experimenten'!$C:$C,VALUE(TRIM(_xlfn.TEXTAFTER(G$1,"="))))</f>
        <v>350.01666666666671</v>
      </c>
      <c r="H7" s="3"/>
      <c r="I7" s="3">
        <f t="shared" si="1"/>
        <v>328.07916666666659</v>
      </c>
      <c r="J7" s="4" cm="1">
        <f t="array" ref="J7">_xlfn.STDEV.S(_xlfn._xlws.FILTER('Alle experimenten'!$F$2:$F$1000,'Alle experimenten'!$D$2:$D$1000=A7))</f>
        <v>106.66357347130749</v>
      </c>
    </row>
    <row r="8" spans="1:14" x14ac:dyDescent="0.35">
      <c r="A8" s="3">
        <v>500</v>
      </c>
      <c r="B8" s="6">
        <f>AVERAGEIFS('Alle experimenten'!$F:$F,'Alle experimenten'!$D:$D,$A8,'Alle experimenten'!$C:$C,VALUE(TRIM(_xlfn.TEXTAFTER(B$1,"="))))</f>
        <v>384.7</v>
      </c>
      <c r="C8" s="3">
        <f>AVERAGEIFS('Alle experimenten'!$F:$F,'Alle experimenten'!$D:$D,$A8,'Alle experimenten'!$C:$C,VALUE(TRIM(_xlfn.TEXTAFTER(C$1,"="))))</f>
        <v>315.5</v>
      </c>
      <c r="D8" s="3">
        <f>AVERAGEIFS('Alle experimenten'!$F:$F,'Alle experimenten'!$D:$D,$A8,'Alle experimenten'!$C:$C,VALUE(TRIM(_xlfn.TEXTAFTER(D$1,"="))))</f>
        <v>332.1722222222221</v>
      </c>
      <c r="E8" s="3">
        <f>AVERAGEIFS('Alle experimenten'!$F:$F,'Alle experimenten'!$D:$D,$A8,'Alle experimenten'!$C:$C,VALUE(TRIM(_xlfn.TEXTAFTER(E$1,"="))))</f>
        <v>285.12777777777774</v>
      </c>
      <c r="F8" s="3">
        <f>AVERAGEIFS('Alle experimenten'!$F:$F,'Alle experimenten'!$D:$D,$A8,'Alle experimenten'!$C:$C,VALUE(TRIM(_xlfn.TEXTAFTER(F$1,"="))))</f>
        <v>358.63333333333327</v>
      </c>
      <c r="G8" s="6">
        <f>AVERAGEIFS('Alle experimenten'!$F:$F,'Alle experimenten'!$D:$D,$A8,'Alle experimenten'!$C:$C,VALUE(TRIM(_xlfn.TEXTAFTER(G$1,"="))))</f>
        <v>433.67777777777781</v>
      </c>
      <c r="H8" s="3"/>
      <c r="I8" s="3">
        <f t="shared" si="1"/>
        <v>322.85833333333329</v>
      </c>
      <c r="J8" s="4" cm="1">
        <f t="array" ref="J8">_xlfn.STDEV.S(_xlfn._xlws.FILTER('Alle experimenten'!$F$2:$F$1000,'Alle experimenten'!$D$2:$D$1000=A8))</f>
        <v>105.47308225273461</v>
      </c>
    </row>
    <row r="9" spans="1:14" x14ac:dyDescent="0.35">
      <c r="A9" s="3">
        <v>750</v>
      </c>
      <c r="B9" s="6"/>
      <c r="C9" s="3"/>
      <c r="D9" s="3"/>
      <c r="E9" s="3"/>
      <c r="F9" s="3"/>
      <c r="G9" s="6"/>
      <c r="H9" s="3"/>
      <c r="I9">
        <v>365.85</v>
      </c>
      <c r="J9" s="9">
        <v>103.22199999999999</v>
      </c>
    </row>
    <row r="10" spans="1:14" x14ac:dyDescent="0.35">
      <c r="B10" s="6"/>
      <c r="G10" s="6"/>
      <c r="H10" s="3"/>
      <c r="I10" s="3"/>
    </row>
    <row r="11" spans="1:14" x14ac:dyDescent="0.35">
      <c r="A11" s="3" t="s">
        <v>24</v>
      </c>
      <c r="B11" s="6">
        <f>AVERAGE(B5:B8)</f>
        <v>366.22916666666657</v>
      </c>
      <c r="C11" s="3">
        <f>AVERAGE(C5:C8)</f>
        <v>321.69999999999993</v>
      </c>
      <c r="D11" s="3">
        <f>AVERAGE(D5:D8)</f>
        <v>354.63194444444434</v>
      </c>
      <c r="E11" s="3">
        <f>AVERAGE(E5:E8)</f>
        <v>367.12083333333328</v>
      </c>
      <c r="F11" s="3">
        <f>AVERAGE(F5:F8)</f>
        <v>339.33055555555552</v>
      </c>
      <c r="G11" s="6">
        <f>AVERAGE(G5:G8)</f>
        <v>361.97222222222229</v>
      </c>
    </row>
    <row r="12" spans="1:14" x14ac:dyDescent="0.35">
      <c r="A12" t="s">
        <v>26</v>
      </c>
      <c r="B12" s="7" cm="1">
        <f t="array" ref="B12">_xlfn.STDEV.S(_xlfn._xlws.FILTER('Alle experimenten'!$F$2:$F$1000,('Alle experimenten'!$C$2:$C$1000=VALUE(TRIM(_xlfn.TEXTAFTER(B$1,"="))))*('Alle experimenten'!$D$2:$D$1000&gt;=120)))</f>
        <v>79.421143208516256</v>
      </c>
      <c r="C12" s="4" cm="1">
        <f t="array" ref="C12">_xlfn.STDEV.S(_xlfn._xlws.FILTER('Alle experimenten'!$F$2:$F$1000,('Alle experimenten'!$C$2:$C$1000=VALUE(TRIM(_xlfn.TEXTAFTER(C$1,"="))))*('Alle experimenten'!$D$2:$D$1000&gt;=120)))</f>
        <v>110.31819401678085</v>
      </c>
      <c r="D12" s="4" cm="1">
        <f t="array" ref="D12">_xlfn.STDEV.S(_xlfn._xlws.FILTER('Alle experimenten'!$F$2:$F$1000,('Alle experimenten'!$C$2:$C$1000=VALUE(TRIM(_xlfn.TEXTAFTER(D$1,"="))))*('Alle experimenten'!$D$2:$D$1000&gt;=120)))</f>
        <v>51.555768925847183</v>
      </c>
      <c r="E12" s="4" cm="1">
        <f t="array" ref="E12">_xlfn.STDEV.S(_xlfn._xlws.FILTER('Alle experimenten'!$F$2:$F$1000,('Alle experimenten'!$C$2:$C$1000=VALUE(TRIM(_xlfn.TEXTAFTER(E$1,"="))))*('Alle experimenten'!$D$2:$D$1000&gt;=120)))</f>
        <v>122.04853696977287</v>
      </c>
      <c r="F12" s="4" cm="1">
        <f t="array" ref="F12">_xlfn.STDEV.S(_xlfn._xlws.FILTER('Alle experimenten'!$F$2:$F$1000,('Alle experimenten'!$C$2:$C$1000=VALUE(TRIM(_xlfn.TEXTAFTER(F$1,"="))))*('Alle experimenten'!$D$2:$D$1000&gt;=120)))</f>
        <v>70.745885074933739</v>
      </c>
      <c r="G12" s="7" cm="1">
        <f t="array" ref="G12">_xlfn.STDEV.S(_xlfn._xlws.FILTER('Alle experimenten'!$F$2:$F$1000,('Alle experimenten'!$C$2:$C$1000=VALUE(TRIM(_xlfn.TEXTAFTER(G$1,"="))))*('Alle experimenten'!$D$2:$D$1000&gt;=120)))</f>
        <v>128.07988345739059</v>
      </c>
    </row>
    <row r="19" spans="14:14" x14ac:dyDescent="0.35">
      <c r="N19" s="8" t="s">
        <v>28</v>
      </c>
    </row>
    <row r="34" spans="14:14" x14ac:dyDescent="0.35">
      <c r="N34" s="8" t="s">
        <v>29</v>
      </c>
    </row>
    <row r="50" spans="14:14" x14ac:dyDescent="0.35">
      <c r="N50" s="8" t="s">
        <v>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Alle experimenten</vt:lpstr>
      <vt:lpstr>Samenvatting</vt:lpstr>
      <vt:lpstr>Grafiek</vt:lpstr>
      <vt:lpstr>Heatmap</vt:lpstr>
      <vt:lpstr>SA gemiddle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Matthijs van Meeuwen</cp:lastModifiedBy>
  <dcterms:created xsi:type="dcterms:W3CDTF">2026-10-22T12:45:22Z</dcterms:created>
  <dcterms:modified xsi:type="dcterms:W3CDTF">2026-10-24T08:37:05Z</dcterms:modified>
</cp:coreProperties>
</file>