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63" documentId="11_4175406915E58D7D3502C5F0505ED87656CDF723" xr6:coauthVersionLast="47" xr6:coauthVersionMax="47" xr10:uidLastSave="{5D1309C2-E8DF-4AEC-B338-E2192D169B6B}"/>
  <bookViews>
    <workbookView xWindow="-120" yWindow="-120" windowWidth="29040" windowHeight="15720" activeTab="1" xr2:uid="{00000000-000D-0000-FFFF-FFFF00000000}"/>
  </bookViews>
  <sheets>
    <sheet name="t_max" sheetId="1" r:id="rId1"/>
    <sheet name="Gemid_tab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2" i="2"/>
  <c r="B3" i="2"/>
  <c r="B4" i="2"/>
  <c r="B5" i="2"/>
  <c r="B6" i="2"/>
  <c r="B7" i="2"/>
  <c r="B8" i="2"/>
  <c r="B9" i="2"/>
  <c r="B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</calcChain>
</file>

<file path=xl/sharedStrings.xml><?xml version="1.0" encoding="utf-8"?>
<sst xmlns="http://schemas.openxmlformats.org/spreadsheetml/2006/main" count="15" uniqueCount="14">
  <si>
    <t>t_max</t>
  </si>
  <si>
    <t>cooling_factor</t>
  </si>
  <si>
    <t>cooling_it</t>
  </si>
  <si>
    <t>temp</t>
  </si>
  <si>
    <t>Random seed</t>
  </si>
  <si>
    <t>Penalty SA</t>
  </si>
  <si>
    <t>Total penalty</t>
  </si>
  <si>
    <t>Total tardiness</t>
  </si>
  <si>
    <t>Rekentijd SA (s)</t>
  </si>
  <si>
    <t>Rekentijd Improving Search (s)</t>
  </si>
  <si>
    <t>Totale rekentijd (s)</t>
  </si>
  <si>
    <t>Gemiddelde</t>
  </si>
  <si>
    <t>Gemiddelde penalty</t>
  </si>
  <si>
    <t>Beste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</si>
</sst>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nl-NL"/>
              <a:t>Invloed van het aantal iteraties op de gemiddelde een beste totale penalty</a:t>
            </a:r>
          </a:p>
        </c:rich>
      </c:tx>
      <c:layout>
        <c:manualLayout>
          <c:xMode val="edge"/>
          <c:yMode val="edge"/>
          <c:x val="0.12712938981800828"/>
          <c:y val="2.58183532188864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Gemid_tabel!$B$1</c:f>
              <c:strCache>
                <c:ptCount val="1"/>
                <c:pt idx="0">
                  <c:v>Gemiddelde penalty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Gemid_tabel!$A$2:$A$9</c:f>
              <c:numCache>
                <c:formatCode>General</c:formatCod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cat>
          <c:val>
            <c:numRef>
              <c:f>Gemid_tabel!$B$2:$B$9</c:f>
              <c:numCache>
                <c:formatCode>General</c:formatCode>
                <c:ptCount val="8"/>
                <c:pt idx="0">
                  <c:v>989.65</c:v>
                </c:pt>
                <c:pt idx="1">
                  <c:v>945.29999999999961</c:v>
                </c:pt>
                <c:pt idx="2">
                  <c:v>868.57222222222208</c:v>
                </c:pt>
                <c:pt idx="3">
                  <c:v>730.7</c:v>
                </c:pt>
                <c:pt idx="4">
                  <c:v>864.13888888888903</c:v>
                </c:pt>
                <c:pt idx="5">
                  <c:v>626.76666666666654</c:v>
                </c:pt>
                <c:pt idx="6">
                  <c:v>207.3055555555556</c:v>
                </c:pt>
                <c:pt idx="7">
                  <c:v>207.3055555555556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B-4BA0-A8AD-A96ED8114F80}"/>
            </c:ext>
          </c:extLst>
        </c:ser>
        <c:ser>
          <c:idx val="2"/>
          <c:order val="1"/>
          <c:tx>
            <c:strRef>
              <c:f>Gemid_tabel!$C$1</c:f>
              <c:strCache>
                <c:ptCount val="1"/>
                <c:pt idx="0">
                  <c:v>Beste penalty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Gemid_tabel!$A$2:$A$9</c:f>
              <c:numCache>
                <c:formatCode>General</c:formatCod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cat>
          <c:val>
            <c:numRef>
              <c:f>Gemid_tabel!$C$2:$C$9</c:f>
              <c:numCache>
                <c:formatCode>General</c:formatCode>
                <c:ptCount val="8"/>
                <c:pt idx="0">
                  <c:v>476.13888888888869</c:v>
                </c:pt>
                <c:pt idx="1">
                  <c:v>557.77777777777783</c:v>
                </c:pt>
                <c:pt idx="2">
                  <c:v>557.77777777777783</c:v>
                </c:pt>
                <c:pt idx="3">
                  <c:v>571.11111111111131</c:v>
                </c:pt>
                <c:pt idx="4">
                  <c:v>654.27777777777806</c:v>
                </c:pt>
                <c:pt idx="5">
                  <c:v>444.05555555555571</c:v>
                </c:pt>
                <c:pt idx="6">
                  <c:v>171.33333333333329</c:v>
                </c:pt>
                <c:pt idx="7">
                  <c:v>171.33333333333329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B-4BA0-A8AD-A96ED8114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208024496"/>
        <c:axId val="1420477840"/>
      </c:barChart>
      <c:catAx>
        <c:axId val="120802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Aantal iteraties (t_max)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0477840"/>
        <c:crosses val="autoZero"/>
        <c:auto val="1"/>
        <c:lblAlgn val="ctr"/>
        <c:lblOffset val="100"/>
        <c:noMultiLvlLbl val="0"/>
      </c:catAx>
      <c:valAx>
        <c:axId val="14204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Totale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0802449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333374</xdr:colOff>
      <xdr:row>7</xdr:row>
      <xdr:rowOff>0</xdr:rowOff>
    </xdr:from>
    <xdr:to>
      <xdr:col>17</xdr:col>
      <xdr:colOff>485775</xdr:colOff>
      <xdr:row>32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97A8E-2D35-AA0A-EE65-DEA3410A4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O9" sqref="O9"/>
    </sheetView>
  </sheetViews>
  <sheetFormatPr defaultRowHeight="15" x14ac:dyDescent="0.25"/>
  <cols>
    <col min="1" max="1" width="8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3.140625" bestFit="1" customWidth="1"/>
    <col min="6" max="6" width="12" bestFit="1" customWidth="1"/>
    <col min="7" max="7" width="12.5703125" bestFit="1" customWidth="1"/>
    <col min="8" max="8" width="14.140625" bestFit="1" customWidth="1"/>
    <col min="9" max="9" width="15.140625" bestFit="1" customWidth="1"/>
    <col min="10" max="10" width="28.5703125" bestFit="1" customWidth="1"/>
    <col min="11" max="11" width="18.140625" bestFit="1" customWidth="1"/>
    <col min="12" max="12" width="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</v>
      </c>
      <c r="B2">
        <v>0.99</v>
      </c>
      <c r="C2">
        <v>1000</v>
      </c>
      <c r="D2">
        <v>1000</v>
      </c>
      <c r="E2">
        <v>1</v>
      </c>
      <c r="F2">
        <v>4024.8888888888891</v>
      </c>
      <c r="G2">
        <v>1071.7222222222219</v>
      </c>
      <c r="H2">
        <v>134.25</v>
      </c>
      <c r="I2">
        <v>8.1084999983431771E-3</v>
      </c>
      <c r="J2">
        <v>0.66797699999005999</v>
      </c>
      <c r="K2">
        <v>0.67608549998840317</v>
      </c>
      <c r="L2">
        <f>AVERAGEIF($A$2:$A$41,A2,$G$2:$G$41)</f>
        <v>989.65</v>
      </c>
    </row>
    <row r="3" spans="1:12" x14ac:dyDescent="0.25">
      <c r="A3">
        <v>100</v>
      </c>
      <c r="B3">
        <v>0.99</v>
      </c>
      <c r="C3">
        <v>1000</v>
      </c>
      <c r="D3">
        <v>1000</v>
      </c>
      <c r="E3">
        <v>9</v>
      </c>
      <c r="F3">
        <v>4463.7222222222217</v>
      </c>
      <c r="G3">
        <v>874.27777777777783</v>
      </c>
      <c r="H3">
        <v>111.2777777777778</v>
      </c>
      <c r="I3">
        <v>8.0100999912247062E-3</v>
      </c>
      <c r="J3">
        <v>0.29724270000588149</v>
      </c>
      <c r="K3">
        <v>0.30525279999710619</v>
      </c>
      <c r="L3">
        <f t="shared" ref="L3:L41" si="0">AVERAGEIF($A$2:$A$41,A3,$G$2:$G$41)</f>
        <v>989.65</v>
      </c>
    </row>
    <row r="4" spans="1:12" x14ac:dyDescent="0.25">
      <c r="A4">
        <v>100</v>
      </c>
      <c r="B4">
        <v>0.99</v>
      </c>
      <c r="C4">
        <v>1000</v>
      </c>
      <c r="D4">
        <v>1000</v>
      </c>
      <c r="E4">
        <v>14</v>
      </c>
      <c r="F4">
        <v>4286.0555555555557</v>
      </c>
      <c r="G4">
        <v>476.13888888888869</v>
      </c>
      <c r="H4">
        <v>68.361111111111086</v>
      </c>
      <c r="I4">
        <v>6.9017999921925366E-3</v>
      </c>
      <c r="J4">
        <v>0.7965288999985205</v>
      </c>
      <c r="K4">
        <v>0.80343069999071304</v>
      </c>
      <c r="L4">
        <f t="shared" si="0"/>
        <v>989.65</v>
      </c>
    </row>
    <row r="5" spans="1:12" x14ac:dyDescent="0.25">
      <c r="A5">
        <v>100</v>
      </c>
      <c r="B5">
        <v>0.99</v>
      </c>
      <c r="C5">
        <v>1000</v>
      </c>
      <c r="D5">
        <v>1000</v>
      </c>
      <c r="E5">
        <v>88</v>
      </c>
      <c r="F5">
        <v>4893.5833333333339</v>
      </c>
      <c r="G5">
        <v>693.91666666666674</v>
      </c>
      <c r="H5">
        <v>89.666666666666671</v>
      </c>
      <c r="I5">
        <v>6.2156000058166683E-3</v>
      </c>
      <c r="J5">
        <v>0.35993320000125101</v>
      </c>
      <c r="K5">
        <v>0.36614880000706762</v>
      </c>
      <c r="L5">
        <f t="shared" si="0"/>
        <v>989.65</v>
      </c>
    </row>
    <row r="6" spans="1:12" x14ac:dyDescent="0.25">
      <c r="A6">
        <v>100</v>
      </c>
      <c r="B6">
        <v>0.99</v>
      </c>
      <c r="C6">
        <v>1000</v>
      </c>
      <c r="D6">
        <v>1000</v>
      </c>
      <c r="E6">
        <v>1040440</v>
      </c>
      <c r="F6">
        <v>4400.8611111111113</v>
      </c>
      <c r="G6">
        <v>1832.1944444444439</v>
      </c>
      <c r="H6">
        <v>203.8888888888888</v>
      </c>
      <c r="I6">
        <v>6.3594999955967069E-3</v>
      </c>
      <c r="J6">
        <v>0.28671479999320582</v>
      </c>
      <c r="K6">
        <v>0.29307429998880252</v>
      </c>
      <c r="L6">
        <f t="shared" si="0"/>
        <v>989.65</v>
      </c>
    </row>
    <row r="7" spans="1:12" x14ac:dyDescent="0.25">
      <c r="A7">
        <v>500</v>
      </c>
      <c r="B7">
        <v>0.99</v>
      </c>
      <c r="C7">
        <v>1000</v>
      </c>
      <c r="D7">
        <v>1000</v>
      </c>
      <c r="E7">
        <v>1</v>
      </c>
      <c r="F7">
        <v>3380.416666666667</v>
      </c>
      <c r="G7">
        <v>1229.4444444444439</v>
      </c>
      <c r="H7">
        <v>136.4722222222222</v>
      </c>
      <c r="I7">
        <v>3.1523099998594262E-2</v>
      </c>
      <c r="J7">
        <v>0.46595329999399843</v>
      </c>
      <c r="K7">
        <v>0.49747639999259258</v>
      </c>
      <c r="L7">
        <f t="shared" si="0"/>
        <v>945.29999999999961</v>
      </c>
    </row>
    <row r="8" spans="1:12" x14ac:dyDescent="0.25">
      <c r="A8">
        <v>500</v>
      </c>
      <c r="B8">
        <v>0.99</v>
      </c>
      <c r="C8">
        <v>1000</v>
      </c>
      <c r="D8">
        <v>1000</v>
      </c>
      <c r="E8">
        <v>9</v>
      </c>
      <c r="F8">
        <v>4080.166666666667</v>
      </c>
      <c r="G8">
        <v>1299.25</v>
      </c>
      <c r="H8">
        <v>160.4166666666666</v>
      </c>
      <c r="I8">
        <v>3.7519300007261343E-2</v>
      </c>
      <c r="J8">
        <v>0.35311039999942301</v>
      </c>
      <c r="K8">
        <v>0.39062970000668429</v>
      </c>
      <c r="L8">
        <f t="shared" si="0"/>
        <v>945.29999999999961</v>
      </c>
    </row>
    <row r="9" spans="1:12" x14ac:dyDescent="0.25">
      <c r="A9">
        <v>500</v>
      </c>
      <c r="B9">
        <v>0.99</v>
      </c>
      <c r="C9">
        <v>1000</v>
      </c>
      <c r="D9">
        <v>1000</v>
      </c>
      <c r="E9">
        <v>14</v>
      </c>
      <c r="F9">
        <v>3592.2777777777769</v>
      </c>
      <c r="G9">
        <v>683.36111111111074</v>
      </c>
      <c r="H9">
        <v>76.611111111111086</v>
      </c>
      <c r="I9">
        <v>3.7761400002636947E-2</v>
      </c>
      <c r="J9">
        <v>0.55018590000690892</v>
      </c>
      <c r="K9">
        <v>0.58794730000954587</v>
      </c>
      <c r="L9">
        <f t="shared" si="0"/>
        <v>945.29999999999961</v>
      </c>
    </row>
    <row r="10" spans="1:12" x14ac:dyDescent="0.25">
      <c r="A10">
        <v>500</v>
      </c>
      <c r="B10">
        <v>0.99</v>
      </c>
      <c r="C10">
        <v>1000</v>
      </c>
      <c r="D10">
        <v>1000</v>
      </c>
      <c r="E10">
        <v>88</v>
      </c>
      <c r="F10">
        <v>2866.6111111111099</v>
      </c>
      <c r="G10">
        <v>956.66666666666652</v>
      </c>
      <c r="H10">
        <v>127.75</v>
      </c>
      <c r="I10">
        <v>4.5154699997510761E-2</v>
      </c>
      <c r="J10">
        <v>0.53286640001169872</v>
      </c>
      <c r="K10">
        <v>0.57802110000920948</v>
      </c>
      <c r="L10">
        <f t="shared" si="0"/>
        <v>945.29999999999961</v>
      </c>
    </row>
    <row r="11" spans="1:12" x14ac:dyDescent="0.25">
      <c r="A11">
        <v>500</v>
      </c>
      <c r="B11">
        <v>0.99</v>
      </c>
      <c r="C11">
        <v>1000</v>
      </c>
      <c r="D11">
        <v>1000</v>
      </c>
      <c r="E11">
        <v>1040440</v>
      </c>
      <c r="F11">
        <v>3707.916666666667</v>
      </c>
      <c r="G11">
        <v>557.77777777777783</v>
      </c>
      <c r="H11">
        <v>69.166666666666686</v>
      </c>
      <c r="I11">
        <v>3.9287899999180809E-2</v>
      </c>
      <c r="J11">
        <v>0.46325329999672249</v>
      </c>
      <c r="K11">
        <v>0.5025411999959033</v>
      </c>
      <c r="L11">
        <f t="shared" si="0"/>
        <v>945.29999999999961</v>
      </c>
    </row>
    <row r="12" spans="1:12" x14ac:dyDescent="0.25">
      <c r="A12">
        <v>1000</v>
      </c>
      <c r="B12">
        <v>0.99</v>
      </c>
      <c r="C12">
        <v>1000</v>
      </c>
      <c r="D12">
        <v>1000</v>
      </c>
      <c r="E12">
        <v>1</v>
      </c>
      <c r="F12">
        <v>3380.416666666667</v>
      </c>
      <c r="G12">
        <v>1229.4444444444439</v>
      </c>
      <c r="H12">
        <v>136.4722222222222</v>
      </c>
      <c r="I12">
        <v>7.5248200009809807E-2</v>
      </c>
      <c r="J12">
        <v>0.63520699999935459</v>
      </c>
      <c r="K12">
        <v>0.7104552000091644</v>
      </c>
      <c r="L12">
        <f t="shared" si="0"/>
        <v>868.57222222222208</v>
      </c>
    </row>
    <row r="13" spans="1:12" x14ac:dyDescent="0.25">
      <c r="A13">
        <v>1000</v>
      </c>
      <c r="B13">
        <v>0.99</v>
      </c>
      <c r="C13">
        <v>1000</v>
      </c>
      <c r="D13">
        <v>1000</v>
      </c>
      <c r="E13">
        <v>9</v>
      </c>
      <c r="F13">
        <v>3594.6944444444439</v>
      </c>
      <c r="G13">
        <v>775.47222222222217</v>
      </c>
      <c r="H13">
        <v>107.2222222222222</v>
      </c>
      <c r="I13">
        <v>0.16744790000666401</v>
      </c>
      <c r="J13">
        <v>0.78768009999475908</v>
      </c>
      <c r="K13">
        <v>0.95512800000142306</v>
      </c>
      <c r="L13">
        <f t="shared" si="0"/>
        <v>868.57222222222208</v>
      </c>
    </row>
    <row r="14" spans="1:12" x14ac:dyDescent="0.25">
      <c r="A14">
        <v>1000</v>
      </c>
      <c r="B14">
        <v>0.99</v>
      </c>
      <c r="C14">
        <v>1000</v>
      </c>
      <c r="D14">
        <v>1000</v>
      </c>
      <c r="E14">
        <v>14</v>
      </c>
      <c r="F14">
        <v>3120.9722222222231</v>
      </c>
      <c r="G14">
        <v>823.5</v>
      </c>
      <c r="H14">
        <v>104.4722222222222</v>
      </c>
      <c r="I14">
        <v>9.2493000003742054E-2</v>
      </c>
      <c r="J14">
        <v>0.42417539999587461</v>
      </c>
      <c r="K14">
        <v>0.51666839999961667</v>
      </c>
      <c r="L14">
        <f t="shared" si="0"/>
        <v>868.57222222222208</v>
      </c>
    </row>
    <row r="15" spans="1:12" x14ac:dyDescent="0.25">
      <c r="A15">
        <v>1000</v>
      </c>
      <c r="B15">
        <v>0.99</v>
      </c>
      <c r="C15">
        <v>1000</v>
      </c>
      <c r="D15">
        <v>1000</v>
      </c>
      <c r="E15">
        <v>88</v>
      </c>
      <c r="F15">
        <v>2866.6111111111099</v>
      </c>
      <c r="G15">
        <v>956.66666666666652</v>
      </c>
      <c r="H15">
        <v>127.75</v>
      </c>
      <c r="I15">
        <v>7.1025700002792291E-2</v>
      </c>
      <c r="J15">
        <v>0.53210699999181088</v>
      </c>
      <c r="K15">
        <v>0.60313269999460317</v>
      </c>
      <c r="L15">
        <f t="shared" si="0"/>
        <v>868.57222222222208</v>
      </c>
    </row>
    <row r="16" spans="1:12" x14ac:dyDescent="0.25">
      <c r="A16">
        <v>1000</v>
      </c>
      <c r="B16">
        <v>0.99</v>
      </c>
      <c r="C16">
        <v>1000</v>
      </c>
      <c r="D16">
        <v>1000</v>
      </c>
      <c r="E16">
        <v>1040440</v>
      </c>
      <c r="F16">
        <v>3707.916666666667</v>
      </c>
      <c r="G16">
        <v>557.77777777777783</v>
      </c>
      <c r="H16">
        <v>69.166666666666686</v>
      </c>
      <c r="I16">
        <v>0.1122028000099817</v>
      </c>
      <c r="J16">
        <v>0.59134780000022147</v>
      </c>
      <c r="K16">
        <v>0.7035506000102032</v>
      </c>
      <c r="L16">
        <f t="shared" si="0"/>
        <v>868.57222222222208</v>
      </c>
    </row>
    <row r="17" spans="1:12" x14ac:dyDescent="0.25">
      <c r="A17">
        <v>5000</v>
      </c>
      <c r="B17">
        <v>0.99</v>
      </c>
      <c r="C17">
        <v>1000</v>
      </c>
      <c r="D17">
        <v>1000</v>
      </c>
      <c r="E17">
        <v>1</v>
      </c>
      <c r="F17">
        <v>3111.8888888888878</v>
      </c>
      <c r="G17">
        <v>571.11111111111131</v>
      </c>
      <c r="H17">
        <v>61.972222222222243</v>
      </c>
      <c r="I17">
        <v>0.36099019998800941</v>
      </c>
      <c r="J17">
        <v>0.43515669999760581</v>
      </c>
      <c r="K17">
        <v>0.79614689998561516</v>
      </c>
      <c r="L17">
        <f t="shared" si="0"/>
        <v>730.7</v>
      </c>
    </row>
    <row r="18" spans="1:12" x14ac:dyDescent="0.25">
      <c r="A18">
        <v>5000</v>
      </c>
      <c r="B18">
        <v>0.99</v>
      </c>
      <c r="C18">
        <v>1000</v>
      </c>
      <c r="D18">
        <v>1000</v>
      </c>
      <c r="E18">
        <v>9</v>
      </c>
      <c r="F18">
        <v>2909.6111111111109</v>
      </c>
      <c r="G18">
        <v>654.27777777777806</v>
      </c>
      <c r="H18">
        <v>86.083333333333357</v>
      </c>
      <c r="I18">
        <v>0.31997609999962151</v>
      </c>
      <c r="J18">
        <v>0.3913341000006767</v>
      </c>
      <c r="K18">
        <v>0.71131020000029821</v>
      </c>
      <c r="L18">
        <f t="shared" si="0"/>
        <v>730.7</v>
      </c>
    </row>
    <row r="19" spans="1:12" x14ac:dyDescent="0.25">
      <c r="A19">
        <v>5000</v>
      </c>
      <c r="B19">
        <v>0.99</v>
      </c>
      <c r="C19">
        <v>1000</v>
      </c>
      <c r="D19">
        <v>1000</v>
      </c>
      <c r="E19">
        <v>14</v>
      </c>
      <c r="F19">
        <v>3120.9722222222231</v>
      </c>
      <c r="G19">
        <v>823.5</v>
      </c>
      <c r="H19">
        <v>104.4722222222222</v>
      </c>
      <c r="I19">
        <v>0.31755759999214211</v>
      </c>
      <c r="J19">
        <v>0.31178460000955971</v>
      </c>
      <c r="K19">
        <v>0.62934220000170171</v>
      </c>
      <c r="L19">
        <f t="shared" si="0"/>
        <v>730.7</v>
      </c>
    </row>
    <row r="20" spans="1:12" x14ac:dyDescent="0.25">
      <c r="A20">
        <v>5000</v>
      </c>
      <c r="B20">
        <v>0.99</v>
      </c>
      <c r="C20">
        <v>1000</v>
      </c>
      <c r="D20">
        <v>1000</v>
      </c>
      <c r="E20">
        <v>88</v>
      </c>
      <c r="F20">
        <v>2866.6111111111099</v>
      </c>
      <c r="G20">
        <v>956.66666666666652</v>
      </c>
      <c r="H20">
        <v>127.75</v>
      </c>
      <c r="I20">
        <v>0.35125889998744242</v>
      </c>
      <c r="J20">
        <v>0.37269839999498799</v>
      </c>
      <c r="K20">
        <v>0.72395729998243041</v>
      </c>
      <c r="L20">
        <f t="shared" si="0"/>
        <v>730.7</v>
      </c>
    </row>
    <row r="21" spans="1:12" x14ac:dyDescent="0.25">
      <c r="A21">
        <v>5000</v>
      </c>
      <c r="B21">
        <v>0.99</v>
      </c>
      <c r="C21">
        <v>1000</v>
      </c>
      <c r="D21">
        <v>1000</v>
      </c>
      <c r="E21">
        <v>1040440</v>
      </c>
      <c r="F21">
        <v>2845.0555555555561</v>
      </c>
      <c r="G21">
        <v>647.94444444444434</v>
      </c>
      <c r="H21">
        <v>79.583333333333329</v>
      </c>
      <c r="I21">
        <v>0.3957520999974804</v>
      </c>
      <c r="J21">
        <v>0.56805450000683777</v>
      </c>
      <c r="K21">
        <v>0.96380660000431817</v>
      </c>
      <c r="L21">
        <f t="shared" si="0"/>
        <v>730.7</v>
      </c>
    </row>
    <row r="22" spans="1:12" x14ac:dyDescent="0.25">
      <c r="A22">
        <v>10000</v>
      </c>
      <c r="B22">
        <v>0.99</v>
      </c>
      <c r="C22">
        <v>1000</v>
      </c>
      <c r="D22">
        <v>1000</v>
      </c>
      <c r="E22">
        <v>1</v>
      </c>
      <c r="F22">
        <v>2342.555555555557</v>
      </c>
      <c r="G22">
        <v>923.77777777777794</v>
      </c>
      <c r="H22">
        <v>103.1111111111111</v>
      </c>
      <c r="I22">
        <v>0.76548400000319816</v>
      </c>
      <c r="J22">
        <v>0.35000169998966157</v>
      </c>
      <c r="K22">
        <v>1.11548569999286</v>
      </c>
      <c r="L22">
        <f t="shared" si="0"/>
        <v>864.13888888888903</v>
      </c>
    </row>
    <row r="23" spans="1:12" x14ac:dyDescent="0.25">
      <c r="A23">
        <v>10000</v>
      </c>
      <c r="B23">
        <v>0.99</v>
      </c>
      <c r="C23">
        <v>1000</v>
      </c>
      <c r="D23">
        <v>1000</v>
      </c>
      <c r="E23">
        <v>9</v>
      </c>
      <c r="F23">
        <v>2909.6111111111109</v>
      </c>
      <c r="G23">
        <v>654.27777777777806</v>
      </c>
      <c r="H23">
        <v>86.083333333333357</v>
      </c>
      <c r="I23">
        <v>0.64314719999674708</v>
      </c>
      <c r="J23">
        <v>0.39583520000451239</v>
      </c>
      <c r="K23">
        <v>1.03898240000126</v>
      </c>
      <c r="L23">
        <f t="shared" si="0"/>
        <v>864.13888888888903</v>
      </c>
    </row>
    <row r="24" spans="1:12" x14ac:dyDescent="0.25">
      <c r="A24">
        <v>10000</v>
      </c>
      <c r="B24">
        <v>0.99</v>
      </c>
      <c r="C24">
        <v>1000</v>
      </c>
      <c r="D24">
        <v>1000</v>
      </c>
      <c r="E24">
        <v>14</v>
      </c>
      <c r="F24">
        <v>2557</v>
      </c>
      <c r="G24">
        <v>928.05555555555566</v>
      </c>
      <c r="H24">
        <v>129.13888888888891</v>
      </c>
      <c r="I24">
        <v>0.64854219999688212</v>
      </c>
      <c r="J24">
        <v>0.28718149999622261</v>
      </c>
      <c r="K24">
        <v>0.93572369999310467</v>
      </c>
      <c r="L24">
        <f t="shared" si="0"/>
        <v>864.13888888888903</v>
      </c>
    </row>
    <row r="25" spans="1:12" x14ac:dyDescent="0.25">
      <c r="A25">
        <v>10000</v>
      </c>
      <c r="B25">
        <v>0.99</v>
      </c>
      <c r="C25">
        <v>1000</v>
      </c>
      <c r="D25">
        <v>1000</v>
      </c>
      <c r="E25">
        <v>88</v>
      </c>
      <c r="F25">
        <v>2866.6111111111099</v>
      </c>
      <c r="G25">
        <v>956.66666666666652</v>
      </c>
      <c r="H25">
        <v>127.75</v>
      </c>
      <c r="I25">
        <v>1.379627199989045</v>
      </c>
      <c r="J25">
        <v>0.55733880000479985</v>
      </c>
      <c r="K25">
        <v>1.9369659999938449</v>
      </c>
      <c r="L25">
        <f t="shared" si="0"/>
        <v>864.13888888888903</v>
      </c>
    </row>
    <row r="26" spans="1:12" x14ac:dyDescent="0.25">
      <c r="A26">
        <v>10000</v>
      </c>
      <c r="B26">
        <v>0.99</v>
      </c>
      <c r="C26">
        <v>1000</v>
      </c>
      <c r="D26">
        <v>1000</v>
      </c>
      <c r="E26">
        <v>1040440</v>
      </c>
      <c r="F26">
        <v>2758.083333333333</v>
      </c>
      <c r="G26">
        <v>857.91666666666663</v>
      </c>
      <c r="H26">
        <v>111.6111111111111</v>
      </c>
      <c r="I26">
        <v>0.73506369999086019</v>
      </c>
      <c r="J26">
        <v>0.31585480000649108</v>
      </c>
      <c r="K26">
        <v>1.0509184999973511</v>
      </c>
      <c r="L26">
        <f t="shared" si="0"/>
        <v>864.13888888888903</v>
      </c>
    </row>
    <row r="27" spans="1:12" x14ac:dyDescent="0.25">
      <c r="A27">
        <v>50000</v>
      </c>
      <c r="B27">
        <v>0.99</v>
      </c>
      <c r="C27">
        <v>1000</v>
      </c>
      <c r="D27">
        <v>1000</v>
      </c>
      <c r="E27">
        <v>1</v>
      </c>
      <c r="F27">
        <v>2109.6111111111109</v>
      </c>
      <c r="G27">
        <v>660.02777777777737</v>
      </c>
      <c r="H27">
        <v>85.138888888888843</v>
      </c>
      <c r="I27">
        <v>3.31284389999928</v>
      </c>
      <c r="J27">
        <v>0.3091504000040004</v>
      </c>
      <c r="K27">
        <v>3.6219943000032799</v>
      </c>
      <c r="L27">
        <f t="shared" si="0"/>
        <v>626.76666666666654</v>
      </c>
    </row>
    <row r="28" spans="1:12" x14ac:dyDescent="0.25">
      <c r="A28">
        <v>50000</v>
      </c>
      <c r="B28">
        <v>0.99</v>
      </c>
      <c r="C28">
        <v>1000</v>
      </c>
      <c r="D28">
        <v>1000</v>
      </c>
      <c r="E28">
        <v>9</v>
      </c>
      <c r="F28">
        <v>2353.833333333333</v>
      </c>
      <c r="G28">
        <v>771.22222222222217</v>
      </c>
      <c r="H28">
        <v>96.2222222222222</v>
      </c>
      <c r="I28">
        <v>3.4564785999973542</v>
      </c>
      <c r="J28">
        <v>0.30289479999919422</v>
      </c>
      <c r="K28">
        <v>3.759373399996548</v>
      </c>
      <c r="L28">
        <f t="shared" si="0"/>
        <v>626.76666666666654</v>
      </c>
    </row>
    <row r="29" spans="1:12" x14ac:dyDescent="0.25">
      <c r="A29">
        <v>50000</v>
      </c>
      <c r="B29">
        <v>0.99</v>
      </c>
      <c r="C29">
        <v>1000</v>
      </c>
      <c r="D29">
        <v>1000</v>
      </c>
      <c r="E29">
        <v>14</v>
      </c>
      <c r="F29">
        <v>2230.7222222222222</v>
      </c>
      <c r="G29">
        <v>444.05555555555571</v>
      </c>
      <c r="H29">
        <v>49.527777777777793</v>
      </c>
      <c r="I29">
        <v>3.453671100010979</v>
      </c>
      <c r="J29">
        <v>0.43833739998808602</v>
      </c>
      <c r="K29">
        <v>3.892008499999065</v>
      </c>
      <c r="L29">
        <f t="shared" si="0"/>
        <v>626.76666666666654</v>
      </c>
    </row>
    <row r="30" spans="1:12" x14ac:dyDescent="0.25">
      <c r="A30">
        <v>50000</v>
      </c>
      <c r="B30">
        <v>0.99</v>
      </c>
      <c r="C30">
        <v>1000</v>
      </c>
      <c r="D30">
        <v>1000</v>
      </c>
      <c r="E30">
        <v>88</v>
      </c>
      <c r="F30">
        <v>2400.8611111111109</v>
      </c>
      <c r="G30">
        <v>707.72222222222229</v>
      </c>
      <c r="H30">
        <v>94.694444444444443</v>
      </c>
      <c r="I30">
        <v>4.7669582000089576</v>
      </c>
      <c r="J30">
        <v>0.37029360000451561</v>
      </c>
      <c r="K30">
        <v>5.1372518000134733</v>
      </c>
      <c r="L30">
        <f t="shared" si="0"/>
        <v>626.76666666666654</v>
      </c>
    </row>
    <row r="31" spans="1:12" x14ac:dyDescent="0.25">
      <c r="A31">
        <v>50000</v>
      </c>
      <c r="B31">
        <v>0.99</v>
      </c>
      <c r="C31">
        <v>1000</v>
      </c>
      <c r="D31">
        <v>1000</v>
      </c>
      <c r="E31">
        <v>1040440</v>
      </c>
      <c r="F31">
        <v>2521.25</v>
      </c>
      <c r="G31">
        <v>550.8055555555552</v>
      </c>
      <c r="H31">
        <v>76.055555555555515</v>
      </c>
      <c r="I31">
        <v>3.3882080000039418</v>
      </c>
      <c r="J31">
        <v>0.46598439999797853</v>
      </c>
      <c r="K31">
        <v>3.8541924000019212</v>
      </c>
      <c r="L31">
        <f t="shared" si="0"/>
        <v>626.76666666666654</v>
      </c>
    </row>
    <row r="32" spans="1:12" x14ac:dyDescent="0.25">
      <c r="A32">
        <v>500000</v>
      </c>
      <c r="B32">
        <v>0.99</v>
      </c>
      <c r="C32">
        <v>1000</v>
      </c>
      <c r="D32">
        <v>1000</v>
      </c>
      <c r="E32">
        <v>1</v>
      </c>
      <c r="F32">
        <v>187.63888888888891</v>
      </c>
      <c r="G32">
        <v>179.638888888889</v>
      </c>
      <c r="H32">
        <v>18.972222222222229</v>
      </c>
      <c r="I32">
        <v>35.308344799996121</v>
      </c>
      <c r="J32">
        <v>5.1827100003720261E-2</v>
      </c>
      <c r="K32">
        <v>35.360171899999841</v>
      </c>
      <c r="L32">
        <f t="shared" si="0"/>
        <v>207.3055555555556</v>
      </c>
    </row>
    <row r="33" spans="1:12" x14ac:dyDescent="0.25">
      <c r="A33">
        <v>500000</v>
      </c>
      <c r="B33">
        <v>0.99</v>
      </c>
      <c r="C33">
        <v>1000</v>
      </c>
      <c r="D33">
        <v>1000</v>
      </c>
      <c r="E33">
        <v>9</v>
      </c>
      <c r="F33">
        <v>219.94444444444471</v>
      </c>
      <c r="G33">
        <v>219.94444444444471</v>
      </c>
      <c r="H33">
        <v>32.944444444444457</v>
      </c>
      <c r="I33">
        <v>36.916119700006668</v>
      </c>
      <c r="J33">
        <v>4.0960300000733703E-2</v>
      </c>
      <c r="K33">
        <v>36.957080000007409</v>
      </c>
      <c r="L33">
        <f t="shared" si="0"/>
        <v>207.3055555555556</v>
      </c>
    </row>
    <row r="34" spans="1:12" x14ac:dyDescent="0.25">
      <c r="A34">
        <v>500000</v>
      </c>
      <c r="B34">
        <v>0.99</v>
      </c>
      <c r="C34">
        <v>1000</v>
      </c>
      <c r="D34">
        <v>1000</v>
      </c>
      <c r="E34">
        <v>14</v>
      </c>
      <c r="F34">
        <v>257.5</v>
      </c>
      <c r="G34">
        <v>257.5</v>
      </c>
      <c r="H34">
        <v>41.249999999999993</v>
      </c>
      <c r="I34">
        <v>35.655610400004662</v>
      </c>
      <c r="J34">
        <v>2.3831400001654401E-2</v>
      </c>
      <c r="K34">
        <v>35.679441800006323</v>
      </c>
      <c r="L34">
        <f t="shared" si="0"/>
        <v>207.3055555555556</v>
      </c>
    </row>
    <row r="35" spans="1:12" x14ac:dyDescent="0.25">
      <c r="A35">
        <v>500000</v>
      </c>
      <c r="B35">
        <v>0.99</v>
      </c>
      <c r="C35">
        <v>1000</v>
      </c>
      <c r="D35">
        <v>1000</v>
      </c>
      <c r="E35">
        <v>88</v>
      </c>
      <c r="F35">
        <v>171.33333333333329</v>
      </c>
      <c r="G35">
        <v>171.33333333333329</v>
      </c>
      <c r="H35">
        <v>28</v>
      </c>
      <c r="I35">
        <v>32.439124500000617</v>
      </c>
      <c r="J35">
        <v>2.270309999585152E-2</v>
      </c>
      <c r="K35">
        <v>32.461827599996468</v>
      </c>
      <c r="L35">
        <f t="shared" si="0"/>
        <v>207.3055555555556</v>
      </c>
    </row>
    <row r="36" spans="1:12" x14ac:dyDescent="0.25">
      <c r="A36">
        <v>500000</v>
      </c>
      <c r="B36">
        <v>0.99</v>
      </c>
      <c r="C36">
        <v>1000</v>
      </c>
      <c r="D36">
        <v>1000</v>
      </c>
      <c r="E36">
        <v>1040440</v>
      </c>
      <c r="F36">
        <v>208.11111111111109</v>
      </c>
      <c r="G36">
        <v>208.11111111111109</v>
      </c>
      <c r="H36">
        <v>29</v>
      </c>
      <c r="I36">
        <v>31.707148900008178</v>
      </c>
      <c r="J36">
        <v>2.1874600002774969E-2</v>
      </c>
      <c r="K36">
        <v>31.72902350001095</v>
      </c>
      <c r="L36">
        <f t="shared" si="0"/>
        <v>207.3055555555556</v>
      </c>
    </row>
    <row r="37" spans="1:12" x14ac:dyDescent="0.25">
      <c r="A37">
        <v>1000000</v>
      </c>
      <c r="B37">
        <v>0.99</v>
      </c>
      <c r="C37">
        <v>1000</v>
      </c>
      <c r="D37">
        <v>1000</v>
      </c>
      <c r="E37">
        <v>1</v>
      </c>
      <c r="F37">
        <v>187.63888888888891</v>
      </c>
      <c r="G37">
        <v>179.638888888889</v>
      </c>
      <c r="H37">
        <v>18.972222222222229</v>
      </c>
      <c r="I37">
        <v>61.989386599991121</v>
      </c>
      <c r="J37">
        <v>4.3378300004405901E-2</v>
      </c>
      <c r="K37">
        <v>62.032764899995527</v>
      </c>
      <c r="L37">
        <f t="shared" si="0"/>
        <v>207.3055555555556</v>
      </c>
    </row>
    <row r="38" spans="1:12" x14ac:dyDescent="0.25">
      <c r="A38">
        <v>1000000</v>
      </c>
      <c r="B38">
        <v>0.99</v>
      </c>
      <c r="C38">
        <v>1000</v>
      </c>
      <c r="D38">
        <v>1000</v>
      </c>
      <c r="E38">
        <v>9</v>
      </c>
      <c r="F38">
        <v>219.94444444444471</v>
      </c>
      <c r="G38">
        <v>219.94444444444471</v>
      </c>
      <c r="H38">
        <v>32.944444444444457</v>
      </c>
      <c r="I38">
        <v>62.122591899998952</v>
      </c>
      <c r="J38">
        <v>2.145010000094771E-2</v>
      </c>
      <c r="K38">
        <v>62.144041999999899</v>
      </c>
      <c r="L38">
        <f t="shared" si="0"/>
        <v>207.3055555555556</v>
      </c>
    </row>
    <row r="39" spans="1:12" x14ac:dyDescent="0.25">
      <c r="A39">
        <v>1000000</v>
      </c>
      <c r="B39">
        <v>0.99</v>
      </c>
      <c r="C39">
        <v>1000</v>
      </c>
      <c r="D39">
        <v>1000</v>
      </c>
      <c r="E39">
        <v>14</v>
      </c>
      <c r="F39">
        <v>257.5</v>
      </c>
      <c r="G39">
        <v>257.5</v>
      </c>
      <c r="H39">
        <v>41.249999999999993</v>
      </c>
      <c r="I39">
        <v>66.146677700002328</v>
      </c>
      <c r="J39">
        <v>3.1394699995871633E-2</v>
      </c>
      <c r="K39">
        <v>66.1780723999982</v>
      </c>
      <c r="L39">
        <f t="shared" si="0"/>
        <v>207.3055555555556</v>
      </c>
    </row>
    <row r="40" spans="1:12" x14ac:dyDescent="0.25">
      <c r="A40">
        <v>1000000</v>
      </c>
      <c r="B40">
        <v>0.99</v>
      </c>
      <c r="C40">
        <v>1000</v>
      </c>
      <c r="D40">
        <v>1000</v>
      </c>
      <c r="E40">
        <v>88</v>
      </c>
      <c r="F40">
        <v>171.33333333333329</v>
      </c>
      <c r="G40">
        <v>171.33333333333329</v>
      </c>
      <c r="H40">
        <v>28</v>
      </c>
      <c r="I40">
        <v>64.304595900001004</v>
      </c>
      <c r="J40">
        <v>2.0610999999917109E-2</v>
      </c>
      <c r="K40">
        <v>64.325206900000921</v>
      </c>
      <c r="L40">
        <f t="shared" si="0"/>
        <v>207.3055555555556</v>
      </c>
    </row>
    <row r="41" spans="1:12" x14ac:dyDescent="0.25">
      <c r="A41">
        <v>1000000</v>
      </c>
      <c r="B41">
        <v>0.99</v>
      </c>
      <c r="C41">
        <v>1000</v>
      </c>
      <c r="D41">
        <v>1000</v>
      </c>
      <c r="E41">
        <v>1040440</v>
      </c>
      <c r="F41">
        <v>208.11111111111109</v>
      </c>
      <c r="G41">
        <v>208.11111111111109</v>
      </c>
      <c r="H41">
        <v>29</v>
      </c>
      <c r="I41">
        <v>62.217200300001423</v>
      </c>
      <c r="J41">
        <v>2.1984799997881051E-2</v>
      </c>
      <c r="K41">
        <v>62.239185099999297</v>
      </c>
      <c r="L41">
        <f t="shared" si="0"/>
        <v>207.3055555555556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AE4D-055F-4C56-81BD-B6DA92EB60C2}">
  <dimension ref="A1:C9"/>
  <sheetViews>
    <sheetView tabSelected="1" workbookViewId="0">
      <selection activeCell="C17" sqref="C17"/>
    </sheetView>
  </sheetViews>
  <sheetFormatPr defaultRowHeight="15" x14ac:dyDescent="0.25"/>
  <cols>
    <col min="2" max="2" width="25.28515625" bestFit="1" customWidth="1"/>
    <col min="3" max="3" width="19.140625" bestFit="1" customWidth="1"/>
  </cols>
  <sheetData>
    <row r="1" spans="1:3" x14ac:dyDescent="0.25">
      <c r="A1" t="s">
        <v>0</v>
      </c>
      <c r="B1" t="s">
        <v>12</v>
      </c>
      <c r="C1" t="s">
        <v>13</v>
      </c>
    </row>
    <row r="2" spans="1:3" x14ac:dyDescent="0.25">
      <c r="A2">
        <v>100</v>
      </c>
      <c r="B2">
        <f>AVERAGEIF(t_max!$A$2:$A$41,A2,t_max!$G$2:$G$41)</f>
        <v>989.65</v>
      </c>
      <c r="C2">
        <f>_xlfn.MINIFS(t_max!$G$2:$G$41,t_max!$A$2:$A$41,A2)</f>
        <v>476.13888888888869</v>
      </c>
    </row>
    <row r="3" spans="1:3" x14ac:dyDescent="0.25">
      <c r="A3">
        <v>500</v>
      </c>
      <c r="B3">
        <f>AVERAGEIF(t_max!$A$2:$A$41,A3,t_max!$G$2:$G$41)</f>
        <v>945.29999999999961</v>
      </c>
      <c r="C3">
        <f>_xlfn.MINIFS(t_max!$G$2:$G$41,t_max!$A$2:$A$41,A3)</f>
        <v>557.77777777777783</v>
      </c>
    </row>
    <row r="4" spans="1:3" x14ac:dyDescent="0.25">
      <c r="A4">
        <v>1000</v>
      </c>
      <c r="B4">
        <f>AVERAGEIF(t_max!$A$2:$A$41,A4,t_max!$G$2:$G$41)</f>
        <v>868.57222222222208</v>
      </c>
      <c r="C4">
        <f>_xlfn.MINIFS(t_max!$G$2:$G$41,t_max!$A$2:$A$41,A4)</f>
        <v>557.77777777777783</v>
      </c>
    </row>
    <row r="5" spans="1:3" x14ac:dyDescent="0.25">
      <c r="A5">
        <v>5000</v>
      </c>
      <c r="B5">
        <f>AVERAGEIF(t_max!$A$2:$A$41,A5,t_max!$G$2:$G$41)</f>
        <v>730.7</v>
      </c>
      <c r="C5">
        <f>_xlfn.MINIFS(t_max!$G$2:$G$41,t_max!$A$2:$A$41,A5)</f>
        <v>571.11111111111131</v>
      </c>
    </row>
    <row r="6" spans="1:3" x14ac:dyDescent="0.25">
      <c r="A6">
        <v>10000</v>
      </c>
      <c r="B6">
        <f>AVERAGEIF(t_max!$A$2:$A$41,A6,t_max!$G$2:$G$41)</f>
        <v>864.13888888888903</v>
      </c>
      <c r="C6">
        <f>_xlfn.MINIFS(t_max!$G$2:$G$41,t_max!$A$2:$A$41,A6)</f>
        <v>654.27777777777806</v>
      </c>
    </row>
    <row r="7" spans="1:3" x14ac:dyDescent="0.25">
      <c r="A7">
        <v>50000</v>
      </c>
      <c r="B7">
        <f>AVERAGEIF(t_max!$A$2:$A$41,A7,t_max!$G$2:$G$41)</f>
        <v>626.76666666666654</v>
      </c>
      <c r="C7">
        <f>_xlfn.MINIFS(t_max!$G$2:$G$41,t_max!$A$2:$A$41,A7)</f>
        <v>444.05555555555571</v>
      </c>
    </row>
    <row r="8" spans="1:3" x14ac:dyDescent="0.25">
      <c r="A8">
        <v>500000</v>
      </c>
      <c r="B8">
        <f>AVERAGEIF(t_max!$A$2:$A$41,A8,t_max!$G$2:$G$41)</f>
        <v>207.3055555555556</v>
      </c>
      <c r="C8">
        <f>_xlfn.MINIFS(t_max!$G$2:$G$41,t_max!$A$2:$A$41,A8)</f>
        <v>171.33333333333329</v>
      </c>
    </row>
    <row r="9" spans="1:3" x14ac:dyDescent="0.25">
      <c r="A9">
        <v>1000000</v>
      </c>
      <c r="B9">
        <f>AVERAGEIF(t_max!$A$2:$A$41,A9,t_max!$G$2:$G$41)</f>
        <v>207.3055555555556</v>
      </c>
      <c r="C9">
        <f>_xlfn.MINIFS(t_max!$G$2:$G$41,t_max!$A$2:$A$41,A9)</f>
        <v>171.33333333333329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t_max</vt:lpstr>
      <vt:lpstr>Gemid_tabel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2026-10-22T10:33:32Z</dcterms:created>
  <dcterms:modified xsi:type="dcterms:W3CDTF">2026-10-22T11:13:42Z</dcterms:modified>
</cp:coreProperties>
</file>