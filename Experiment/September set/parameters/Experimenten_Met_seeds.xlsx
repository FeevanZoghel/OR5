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81" documentId="11_2955C66E172019671D83DEF0505ED87656CDD67A" xr6:coauthVersionLast="47" xr6:coauthVersionMax="47" xr10:uidLastSave="{42A48DB8-5AB1-4FC9-A397-274384D3AC92}"/>
  <bookViews>
    <workbookView xWindow="-120" yWindow="-120" windowWidth="29040" windowHeight="15720" activeTab="1" xr2:uid="{00000000-000D-0000-FFFF-FFFF00000000}"/>
  </bookViews>
  <sheets>
    <sheet name="Random seeds" sheetId="1" r:id="rId1"/>
    <sheet name="Boxplot" sheetId="2" r:id="rId2"/>
  </sheets>
  <definedNames>
    <definedName name="_xlchart.v1.0" hidden="1">Boxplot!$B$1</definedName>
    <definedName name="_xlchart.v1.1" hidden="1">Boxplot!$B$2:$B$51</definedName>
    <definedName name="_xlchart.v1.2" hidden="1">Boxplot!$B$1</definedName>
    <definedName name="_xlchart.v1.3" hidden="1">Boxplot!$B$2:$B$51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E6" i="2"/>
  <c r="E4" i="2"/>
  <c r="E5" i="2" s="1"/>
  <c r="E3" i="2"/>
  <c r="E2" i="2"/>
</calcChain>
</file>

<file path=xl/sharedStrings.xml><?xml version="1.0" encoding="utf-8"?>
<sst xmlns="http://schemas.openxmlformats.org/spreadsheetml/2006/main" count="19" uniqueCount="17">
  <si>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</si>
  <si>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</si>
  <si>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</si>
  <si>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</si>
  <si>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</si>
  <si>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</si>
  <si>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</si>
  <si>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</si>
  <si>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</si>
  <si>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</si>
  <si>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</si>
  <si>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Q1</t>
  </si>
  <si>
    <t>Q3</t>
  </si>
  <si>
    <t>IQR</t>
  </si>
  <si>
    <t>Ondergrens</t>
  </si>
  <si>
    <t>Bovengrens</t>
  </si>
  <si>
    <t>Uitschieter?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</si>
</sst>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Verdeling van de totale penalty over 50 random seeds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Verdeling van de totale penalty over 50 random seeds</a:t>
          </a:r>
        </a:p>
      </cx:txPr>
    </cx:title>
    <cx:plotArea>
      <cx:plotAreaRegion>
        <cx:series layoutId="boxWhisker" uniqueId="{00000000-D718-4270-8BB0-1D0416A9BF03}">
          <cx:tx>
            <cx:txData>
              <cx:f>_xlchart.v1.0</cx:f>
              <cx:v>Total penalty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GB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"/>
            </a:pPr>
            <a:endParaRPr lang="en-GB" sz="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title>
          <cx:tx>
            <cx:txData>
              <cx:v>Totale penalty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GB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Totale penalty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138111</xdr:rowOff>
    </xdr:from>
    <xdr:to>
      <xdr:col>16</xdr:col>
      <xdr:colOff>0</xdr:colOff>
      <xdr:row>30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B83A56-3DD5-A437-B8AE-886EFC9586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328611"/>
              <a:ext cx="4819650" cy="5557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495299</xdr:colOff>
      <xdr:row>4</xdr:row>
      <xdr:rowOff>85723</xdr:rowOff>
    </xdr:from>
    <xdr:to>
      <xdr:col>11</xdr:col>
      <xdr:colOff>600075</xdr:colOff>
      <xdr:row>5</xdr:row>
      <xdr:rowOff>142874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E19F886-B4BF-DA7D-6EAD-BEC3801B86B4}"/>
            </a:ext>
          </a:extLst>
        </xdr:cNvPr>
        <xdr:cNvSpPr txBox="1"/>
      </xdr:nvSpPr>
      <xdr:spPr>
        <a:xfrm>
          <a:off x="6800849" y="847723"/>
          <a:ext cx="1323976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>
              <a:solidFill>
                <a:sysClr val="windowText" lastClr="000000"/>
              </a:solidFill>
            </a:rPr>
            <a:t>Seed 41 (623)</a:t>
          </a:r>
        </a:p>
      </xdr:txBody>
    </xdr:sp>
    <xdr:clientData/>
  </xdr:twoCellAnchor>
  <xdr:twoCellAnchor>
    <xdr:from>
      <xdr:col>9</xdr:col>
      <xdr:colOff>495299</xdr:colOff>
      <xdr:row>6</xdr:row>
      <xdr:rowOff>9523</xdr:rowOff>
    </xdr:from>
    <xdr:to>
      <xdr:col>11</xdr:col>
      <xdr:colOff>600075</xdr:colOff>
      <xdr:row>7</xdr:row>
      <xdr:rowOff>66674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91FB26-CBD1-4BDC-B065-7E13DD1228EB}"/>
            </a:ext>
          </a:extLst>
        </xdr:cNvPr>
        <xdr:cNvSpPr txBox="1"/>
      </xdr:nvSpPr>
      <xdr:spPr>
        <a:xfrm>
          <a:off x="6800849" y="1152523"/>
          <a:ext cx="1323976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>
              <a:solidFill>
                <a:sysClr val="windowText" lastClr="000000"/>
              </a:solidFill>
            </a:rPr>
            <a:t>Seed 16 (612,91)</a:t>
          </a:r>
        </a:p>
      </xdr:txBody>
    </xdr:sp>
    <xdr:clientData/>
  </xdr:twoCellAnchor>
  <xdr:twoCellAnchor>
    <xdr:from>
      <xdr:col>9</xdr:col>
      <xdr:colOff>542925</xdr:colOff>
      <xdr:row>7</xdr:row>
      <xdr:rowOff>157161</xdr:rowOff>
    </xdr:from>
    <xdr:to>
      <xdr:col>12</xdr:col>
      <xdr:colOff>38101</xdr:colOff>
      <xdr:row>9</xdr:row>
      <xdr:rowOff>23812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661629-7950-458E-BCDE-1D5C1185BB54}"/>
            </a:ext>
          </a:extLst>
        </xdr:cNvPr>
        <xdr:cNvSpPr txBox="1"/>
      </xdr:nvSpPr>
      <xdr:spPr>
        <a:xfrm>
          <a:off x="6848475" y="1490661"/>
          <a:ext cx="1323976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>
              <a:solidFill>
                <a:sysClr val="windowText" lastClr="000000"/>
              </a:solidFill>
            </a:rPr>
            <a:t>Seed 48 (548,08)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A16" workbookViewId="0">
      <selection activeCell="E1" sqref="E1:E51"/>
    </sheetView>
  </sheetViews>
  <sheetFormatPr defaultRowHeight="1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3.140625" bestFit="1" customWidth="1"/>
    <col min="6" max="6" width="12" bestFit="1" customWidth="1"/>
    <col min="7" max="7" width="12.5703125" bestFit="1" customWidth="1"/>
    <col min="8" max="8" width="14.140625" bestFit="1" customWidth="1"/>
    <col min="9" max="9" width="15.140625" bestFit="1" customWidth="1"/>
    <col min="10" max="10" width="28.5703125" bestFit="1" customWidth="1"/>
    <col min="11" max="11" width="18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70000</v>
      </c>
      <c r="B2">
        <v>0.95499999999999996</v>
      </c>
      <c r="C2">
        <v>700</v>
      </c>
      <c r="D2">
        <v>500</v>
      </c>
      <c r="E2">
        <v>1</v>
      </c>
      <c r="F2">
        <v>287.5</v>
      </c>
      <c r="G2">
        <v>287.5</v>
      </c>
      <c r="H2">
        <v>42</v>
      </c>
      <c r="I2">
        <v>5.1146798999980092</v>
      </c>
      <c r="J2">
        <v>2.607350000471342E-2</v>
      </c>
      <c r="K2">
        <v>5.1407534000027226</v>
      </c>
    </row>
    <row r="3" spans="1:11">
      <c r="A3">
        <v>70000</v>
      </c>
      <c r="B3">
        <v>0.95499999999999996</v>
      </c>
      <c r="C3">
        <v>700</v>
      </c>
      <c r="D3">
        <v>500</v>
      </c>
      <c r="E3">
        <v>2</v>
      </c>
      <c r="F3">
        <v>384.2777777777776</v>
      </c>
      <c r="G3">
        <v>374.2777777777776</v>
      </c>
      <c r="H3">
        <v>53.749999999999972</v>
      </c>
      <c r="I3">
        <v>5.0022122999944258</v>
      </c>
      <c r="J3">
        <v>4.7137999994447448E-2</v>
      </c>
      <c r="K3">
        <v>5.0493502999888733</v>
      </c>
    </row>
    <row r="4" spans="1:11">
      <c r="A4">
        <v>70000</v>
      </c>
      <c r="B4">
        <v>0.95499999999999996</v>
      </c>
      <c r="C4">
        <v>700</v>
      </c>
      <c r="D4">
        <v>500</v>
      </c>
      <c r="E4">
        <v>3</v>
      </c>
      <c r="F4">
        <v>248.0833333333334</v>
      </c>
      <c r="G4">
        <v>248.0833333333334</v>
      </c>
      <c r="H4">
        <v>22.583333333333339</v>
      </c>
      <c r="I4">
        <v>5.0101730000023963</v>
      </c>
      <c r="J4">
        <v>2.8986399993300441E-2</v>
      </c>
      <c r="K4">
        <v>5.0391593999956967</v>
      </c>
    </row>
    <row r="5" spans="1:11">
      <c r="A5">
        <v>70000</v>
      </c>
      <c r="B5">
        <v>0.95499999999999996</v>
      </c>
      <c r="C5">
        <v>700</v>
      </c>
      <c r="D5">
        <v>500</v>
      </c>
      <c r="E5">
        <v>4</v>
      </c>
      <c r="F5">
        <v>309.27777777777783</v>
      </c>
      <c r="G5">
        <v>309.27777777777783</v>
      </c>
      <c r="H5">
        <v>40.111111111111121</v>
      </c>
      <c r="I5">
        <v>5.7662630999984694</v>
      </c>
      <c r="J5">
        <v>3.0209999997168779E-2</v>
      </c>
      <c r="K5">
        <v>5.7964730999956373</v>
      </c>
    </row>
    <row r="6" spans="1:11">
      <c r="A6">
        <v>70000</v>
      </c>
      <c r="B6">
        <v>0.95499999999999996</v>
      </c>
      <c r="C6">
        <v>700</v>
      </c>
      <c r="D6">
        <v>500</v>
      </c>
      <c r="E6">
        <v>5</v>
      </c>
      <c r="F6">
        <v>249.3888888888886</v>
      </c>
      <c r="G6">
        <v>249.3888888888886</v>
      </c>
      <c r="H6">
        <v>38.416666666666643</v>
      </c>
      <c r="I6">
        <v>5.3464142999873729</v>
      </c>
      <c r="J6">
        <v>2.72153999976581E-2</v>
      </c>
      <c r="K6">
        <v>5.373629699985031</v>
      </c>
    </row>
    <row r="7" spans="1:11">
      <c r="A7">
        <v>70000</v>
      </c>
      <c r="B7">
        <v>0.95499999999999996</v>
      </c>
      <c r="C7">
        <v>700</v>
      </c>
      <c r="D7">
        <v>500</v>
      </c>
      <c r="E7">
        <v>6</v>
      </c>
      <c r="F7">
        <v>306.00000000000023</v>
      </c>
      <c r="G7">
        <v>306.00000000000023</v>
      </c>
      <c r="H7">
        <v>42.666666666666693</v>
      </c>
      <c r="I7">
        <v>6.1012235999951372</v>
      </c>
      <c r="J7">
        <v>5.2981999993789941E-2</v>
      </c>
      <c r="K7">
        <v>6.1542055999889271</v>
      </c>
    </row>
    <row r="8" spans="1:11">
      <c r="A8">
        <v>70000</v>
      </c>
      <c r="B8">
        <v>0.95499999999999996</v>
      </c>
      <c r="C8">
        <v>700</v>
      </c>
      <c r="D8">
        <v>500</v>
      </c>
      <c r="E8">
        <v>7</v>
      </c>
      <c r="F8">
        <v>533.33333333333326</v>
      </c>
      <c r="G8">
        <v>533.33333333333326</v>
      </c>
      <c r="H8">
        <v>74.861111111111086</v>
      </c>
      <c r="I8">
        <v>5.5241670999967027</v>
      </c>
      <c r="J8">
        <v>3.0947099992772561E-2</v>
      </c>
      <c r="K8">
        <v>5.5551141999894753</v>
      </c>
    </row>
    <row r="9" spans="1:11">
      <c r="A9">
        <v>70000</v>
      </c>
      <c r="B9">
        <v>0.95499999999999996</v>
      </c>
      <c r="C9">
        <v>700</v>
      </c>
      <c r="D9">
        <v>500</v>
      </c>
      <c r="E9">
        <v>8</v>
      </c>
      <c r="F9">
        <v>333.33333333333343</v>
      </c>
      <c r="G9">
        <v>333.33333333333343</v>
      </c>
      <c r="H9">
        <v>39.44444444444445</v>
      </c>
      <c r="I9">
        <v>5.2023584999988088</v>
      </c>
      <c r="J9">
        <v>3.1438799996976741E-2</v>
      </c>
      <c r="K9">
        <v>5.2337972999957856</v>
      </c>
    </row>
    <row r="10" spans="1:11">
      <c r="A10">
        <v>70000</v>
      </c>
      <c r="B10">
        <v>0.95499999999999996</v>
      </c>
      <c r="C10">
        <v>700</v>
      </c>
      <c r="D10">
        <v>500</v>
      </c>
      <c r="E10">
        <v>9</v>
      </c>
      <c r="F10">
        <v>241.7777777777778</v>
      </c>
      <c r="G10">
        <v>228.2777777777778</v>
      </c>
      <c r="H10">
        <v>35.277777777777771</v>
      </c>
      <c r="I10">
        <v>4.8761056999937864</v>
      </c>
      <c r="J10">
        <v>5.001149998861365E-2</v>
      </c>
      <c r="K10">
        <v>4.9261171999824001</v>
      </c>
    </row>
    <row r="11" spans="1:11">
      <c r="A11">
        <v>70000</v>
      </c>
      <c r="B11">
        <v>0.95499999999999996</v>
      </c>
      <c r="C11">
        <v>700</v>
      </c>
      <c r="D11">
        <v>500</v>
      </c>
      <c r="E11">
        <v>10</v>
      </c>
      <c r="F11">
        <v>375.08333333333331</v>
      </c>
      <c r="G11">
        <v>375.08333333333331</v>
      </c>
      <c r="H11">
        <v>49.472222222222221</v>
      </c>
      <c r="I11">
        <v>5.1273934999917401</v>
      </c>
      <c r="J11">
        <v>3.8930399998207577E-2</v>
      </c>
      <c r="K11">
        <v>5.1663238999899477</v>
      </c>
    </row>
    <row r="12" spans="1:11">
      <c r="A12">
        <v>70000</v>
      </c>
      <c r="B12">
        <v>0.95499999999999996</v>
      </c>
      <c r="C12">
        <v>700</v>
      </c>
      <c r="D12">
        <v>500</v>
      </c>
      <c r="E12">
        <v>11</v>
      </c>
      <c r="F12">
        <v>168.5</v>
      </c>
      <c r="G12">
        <v>168.5</v>
      </c>
      <c r="H12">
        <v>22.833333333333329</v>
      </c>
      <c r="I12">
        <v>4.8768200000049546</v>
      </c>
      <c r="J12">
        <v>2.7552699990337711E-2</v>
      </c>
      <c r="K12">
        <v>4.9043726999952924</v>
      </c>
    </row>
    <row r="13" spans="1:11">
      <c r="A13">
        <v>70000</v>
      </c>
      <c r="B13">
        <v>0.95499999999999996</v>
      </c>
      <c r="C13">
        <v>700</v>
      </c>
      <c r="D13">
        <v>500</v>
      </c>
      <c r="E13">
        <v>12</v>
      </c>
      <c r="F13">
        <v>279.69444444444429</v>
      </c>
      <c r="G13">
        <v>279.69444444444429</v>
      </c>
      <c r="H13">
        <v>42.027777777777757</v>
      </c>
      <c r="I13">
        <v>4.8244544999906793</v>
      </c>
      <c r="J13">
        <v>2.8693000000203028E-2</v>
      </c>
      <c r="K13">
        <v>4.8531474999908824</v>
      </c>
    </row>
    <row r="14" spans="1:11">
      <c r="A14">
        <v>70000</v>
      </c>
      <c r="B14">
        <v>0.95499999999999996</v>
      </c>
      <c r="C14">
        <v>700</v>
      </c>
      <c r="D14">
        <v>500</v>
      </c>
      <c r="E14">
        <v>13</v>
      </c>
      <c r="F14">
        <v>282.83333333333343</v>
      </c>
      <c r="G14">
        <v>282.83333333333343</v>
      </c>
      <c r="H14">
        <v>44.916666666666679</v>
      </c>
      <c r="I14">
        <v>4.7672271000046749</v>
      </c>
      <c r="J14">
        <v>2.617179999651853E-2</v>
      </c>
      <c r="K14">
        <v>4.7933989000011934</v>
      </c>
    </row>
    <row r="15" spans="1:11">
      <c r="A15">
        <v>70000</v>
      </c>
      <c r="B15">
        <v>0.95499999999999996</v>
      </c>
      <c r="C15">
        <v>700</v>
      </c>
      <c r="D15">
        <v>500</v>
      </c>
      <c r="E15">
        <v>14</v>
      </c>
      <c r="F15">
        <v>267.94444444444451</v>
      </c>
      <c r="G15">
        <v>267.94444444444451</v>
      </c>
      <c r="H15">
        <v>40.027777777777779</v>
      </c>
      <c r="I15">
        <v>6.4639587999990908</v>
      </c>
      <c r="J15">
        <v>3.2498000000487082E-2</v>
      </c>
      <c r="K15">
        <v>6.4964567999995779</v>
      </c>
    </row>
    <row r="16" spans="1:11">
      <c r="A16">
        <v>70000</v>
      </c>
      <c r="B16">
        <v>0.95499999999999996</v>
      </c>
      <c r="C16">
        <v>700</v>
      </c>
      <c r="D16">
        <v>500</v>
      </c>
      <c r="E16">
        <v>15</v>
      </c>
      <c r="F16">
        <v>254.02777777777769</v>
      </c>
      <c r="G16">
        <v>254.02777777777769</v>
      </c>
      <c r="H16">
        <v>40.194444444444443</v>
      </c>
      <c r="I16">
        <v>4.700940199996694</v>
      </c>
      <c r="J16">
        <v>2.7870699996128678E-2</v>
      </c>
      <c r="K16">
        <v>4.7288108999928227</v>
      </c>
    </row>
    <row r="17" spans="1:11">
      <c r="A17">
        <v>70000</v>
      </c>
      <c r="B17">
        <v>0.95499999999999996</v>
      </c>
      <c r="C17">
        <v>700</v>
      </c>
      <c r="D17">
        <v>500</v>
      </c>
      <c r="E17">
        <v>16</v>
      </c>
      <c r="F17">
        <v>612.91666666666652</v>
      </c>
      <c r="G17">
        <v>612.91666666666652</v>
      </c>
      <c r="H17">
        <v>83.166666666666643</v>
      </c>
      <c r="I17">
        <v>5.1174462999915704</v>
      </c>
      <c r="J17">
        <v>2.714210000704043E-2</v>
      </c>
      <c r="K17">
        <v>5.1445883999986108</v>
      </c>
    </row>
    <row r="18" spans="1:11">
      <c r="A18">
        <v>70000</v>
      </c>
      <c r="B18">
        <v>0.95499999999999996</v>
      </c>
      <c r="C18">
        <v>700</v>
      </c>
      <c r="D18">
        <v>500</v>
      </c>
      <c r="E18">
        <v>17</v>
      </c>
      <c r="F18">
        <v>482.66666666666669</v>
      </c>
      <c r="G18">
        <v>482.66666666666669</v>
      </c>
      <c r="H18">
        <v>61.250000000000007</v>
      </c>
      <c r="I18">
        <v>4.7484903000004124</v>
      </c>
      <c r="J18">
        <v>2.6184000002103861E-2</v>
      </c>
      <c r="K18">
        <v>4.7746743000025162</v>
      </c>
    </row>
    <row r="19" spans="1:11">
      <c r="A19">
        <v>70000</v>
      </c>
      <c r="B19">
        <v>0.95499999999999996</v>
      </c>
      <c r="C19">
        <v>700</v>
      </c>
      <c r="D19">
        <v>500</v>
      </c>
      <c r="E19">
        <v>18</v>
      </c>
      <c r="F19">
        <v>328.58333333333343</v>
      </c>
      <c r="G19">
        <v>328.58333333333343</v>
      </c>
      <c r="H19">
        <v>48.194444444444457</v>
      </c>
      <c r="I19">
        <v>4.8462811000063084</v>
      </c>
      <c r="J19">
        <v>2.6019900004030209E-2</v>
      </c>
      <c r="K19">
        <v>4.8723010000103386</v>
      </c>
    </row>
    <row r="20" spans="1:11">
      <c r="A20">
        <v>70000</v>
      </c>
      <c r="B20">
        <v>0.95499999999999996</v>
      </c>
      <c r="C20">
        <v>700</v>
      </c>
      <c r="D20">
        <v>500</v>
      </c>
      <c r="E20">
        <v>19</v>
      </c>
      <c r="F20">
        <v>268.47222222222229</v>
      </c>
      <c r="G20">
        <v>268.47222222222229</v>
      </c>
      <c r="H20">
        <v>42.527777777777779</v>
      </c>
      <c r="I20">
        <v>4.7808438000065507</v>
      </c>
      <c r="J20">
        <v>2.7148199995281171E-2</v>
      </c>
      <c r="K20">
        <v>4.8079920000018319</v>
      </c>
    </row>
    <row r="21" spans="1:11">
      <c r="A21">
        <v>70000</v>
      </c>
      <c r="B21">
        <v>0.95499999999999996</v>
      </c>
      <c r="C21">
        <v>700</v>
      </c>
      <c r="D21">
        <v>500</v>
      </c>
      <c r="E21">
        <v>20</v>
      </c>
      <c r="F21">
        <v>522.5</v>
      </c>
      <c r="G21">
        <v>522.5</v>
      </c>
      <c r="H21">
        <v>70.194444444444443</v>
      </c>
      <c r="I21">
        <v>5.3990511000010883</v>
      </c>
      <c r="J21">
        <v>2.875179999682587E-2</v>
      </c>
      <c r="K21">
        <v>5.4278028999979142</v>
      </c>
    </row>
    <row r="22" spans="1:11">
      <c r="A22">
        <v>70000</v>
      </c>
      <c r="B22">
        <v>0.95499999999999996</v>
      </c>
      <c r="C22">
        <v>700</v>
      </c>
      <c r="D22">
        <v>500</v>
      </c>
      <c r="E22">
        <v>21</v>
      </c>
      <c r="F22">
        <v>333.61111111111109</v>
      </c>
      <c r="G22">
        <v>333.61111111111109</v>
      </c>
      <c r="H22">
        <v>48.611111111111107</v>
      </c>
      <c r="I22">
        <v>5.4854661999997916</v>
      </c>
      <c r="J22">
        <v>2.8335599999991249E-2</v>
      </c>
      <c r="K22">
        <v>5.5138017999997828</v>
      </c>
    </row>
    <row r="23" spans="1:11">
      <c r="A23">
        <v>70000</v>
      </c>
      <c r="B23">
        <v>0.95499999999999996</v>
      </c>
      <c r="C23">
        <v>700</v>
      </c>
      <c r="D23">
        <v>500</v>
      </c>
      <c r="E23">
        <v>22</v>
      </c>
      <c r="F23">
        <v>390.6111111111112</v>
      </c>
      <c r="G23">
        <v>390.6111111111112</v>
      </c>
      <c r="H23">
        <v>55.361111111111107</v>
      </c>
      <c r="I23">
        <v>4.9465278999996372</v>
      </c>
      <c r="J23">
        <v>2.485099999466911E-2</v>
      </c>
      <c r="K23">
        <v>4.9713788999943063</v>
      </c>
    </row>
    <row r="24" spans="1:11">
      <c r="A24">
        <v>70000</v>
      </c>
      <c r="B24">
        <v>0.95499999999999996</v>
      </c>
      <c r="C24">
        <v>700</v>
      </c>
      <c r="D24">
        <v>500</v>
      </c>
      <c r="E24">
        <v>23</v>
      </c>
      <c r="F24">
        <v>192.4444444444446</v>
      </c>
      <c r="G24">
        <v>192.4444444444446</v>
      </c>
      <c r="H24">
        <v>30.444444444444461</v>
      </c>
      <c r="I24">
        <v>4.9659979999996722</v>
      </c>
      <c r="J24">
        <v>2.638670000305865E-2</v>
      </c>
      <c r="K24">
        <v>4.9923847000027308</v>
      </c>
    </row>
    <row r="25" spans="1:11">
      <c r="A25">
        <v>70000</v>
      </c>
      <c r="B25">
        <v>0.95499999999999996</v>
      </c>
      <c r="C25">
        <v>700</v>
      </c>
      <c r="D25">
        <v>500</v>
      </c>
      <c r="E25">
        <v>24</v>
      </c>
      <c r="F25">
        <v>246.7777777777776</v>
      </c>
      <c r="G25">
        <v>246.7777777777776</v>
      </c>
      <c r="H25">
        <v>38.166666666666643</v>
      </c>
      <c r="I25">
        <v>5.2402036999992561</v>
      </c>
      <c r="J25">
        <v>2.7915800004848279E-2</v>
      </c>
      <c r="K25">
        <v>5.2681195000041043</v>
      </c>
    </row>
    <row r="26" spans="1:11">
      <c r="A26">
        <v>70000</v>
      </c>
      <c r="B26">
        <v>0.95499999999999996</v>
      </c>
      <c r="C26">
        <v>700</v>
      </c>
      <c r="D26">
        <v>500</v>
      </c>
      <c r="E26">
        <v>25</v>
      </c>
      <c r="F26">
        <v>461.94444444444451</v>
      </c>
      <c r="G26">
        <v>461.94444444444451</v>
      </c>
      <c r="H26">
        <v>68.166666666666671</v>
      </c>
      <c r="I26">
        <v>5.6907558000093559</v>
      </c>
      <c r="J26">
        <v>2.5732899986905981E-2</v>
      </c>
      <c r="K26">
        <v>5.7164886999962619</v>
      </c>
    </row>
    <row r="27" spans="1:11">
      <c r="A27">
        <v>70000</v>
      </c>
      <c r="B27">
        <v>0.95499999999999996</v>
      </c>
      <c r="C27">
        <v>700</v>
      </c>
      <c r="D27">
        <v>500</v>
      </c>
      <c r="E27">
        <v>26</v>
      </c>
      <c r="F27">
        <v>378</v>
      </c>
      <c r="G27">
        <v>378</v>
      </c>
      <c r="H27">
        <v>51.75</v>
      </c>
      <c r="I27">
        <v>4.9171762000041781</v>
      </c>
      <c r="J27">
        <v>2.6721100002760071E-2</v>
      </c>
      <c r="K27">
        <v>4.9438973000069382</v>
      </c>
    </row>
    <row r="28" spans="1:11">
      <c r="A28">
        <v>70000</v>
      </c>
      <c r="B28">
        <v>0.95499999999999996</v>
      </c>
      <c r="C28">
        <v>700</v>
      </c>
      <c r="D28">
        <v>500</v>
      </c>
      <c r="E28">
        <v>27</v>
      </c>
      <c r="F28">
        <v>350.83333333333309</v>
      </c>
      <c r="G28">
        <v>334.94444444444417</v>
      </c>
      <c r="H28">
        <v>49.694444444444422</v>
      </c>
      <c r="I28">
        <v>4.6372984000045108</v>
      </c>
      <c r="J28">
        <v>4.9446699995314702E-2</v>
      </c>
      <c r="K28">
        <v>4.6867450999998246</v>
      </c>
    </row>
    <row r="29" spans="1:11">
      <c r="A29">
        <v>70000</v>
      </c>
      <c r="B29">
        <v>0.95499999999999996</v>
      </c>
      <c r="C29">
        <v>700</v>
      </c>
      <c r="D29">
        <v>500</v>
      </c>
      <c r="E29">
        <v>28</v>
      </c>
      <c r="F29">
        <v>315.8333333333336</v>
      </c>
      <c r="G29">
        <v>315.8333333333336</v>
      </c>
      <c r="H29">
        <v>43.527777777777807</v>
      </c>
      <c r="I29">
        <v>4.6937429999961751</v>
      </c>
      <c r="J29">
        <v>2.4894799993489869E-2</v>
      </c>
      <c r="K29">
        <v>4.7186377999896649</v>
      </c>
    </row>
    <row r="30" spans="1:11">
      <c r="A30">
        <v>70000</v>
      </c>
      <c r="B30">
        <v>0.95499999999999996</v>
      </c>
      <c r="C30">
        <v>700</v>
      </c>
      <c r="D30">
        <v>500</v>
      </c>
      <c r="E30">
        <v>29</v>
      </c>
      <c r="F30">
        <v>358.02777777777749</v>
      </c>
      <c r="G30">
        <v>358.02777777777749</v>
      </c>
      <c r="H30">
        <v>54.5833333333333</v>
      </c>
      <c r="I30">
        <v>4.6634412999992492</v>
      </c>
      <c r="J30">
        <v>3.0098599992925301E-2</v>
      </c>
      <c r="K30">
        <v>4.6935398999921736</v>
      </c>
    </row>
    <row r="31" spans="1:11">
      <c r="A31">
        <v>70000</v>
      </c>
      <c r="B31">
        <v>0.95499999999999996</v>
      </c>
      <c r="C31">
        <v>700</v>
      </c>
      <c r="D31">
        <v>500</v>
      </c>
      <c r="E31">
        <v>30</v>
      </c>
      <c r="F31">
        <v>252.61111111111109</v>
      </c>
      <c r="G31">
        <v>252.61111111111109</v>
      </c>
      <c r="H31">
        <v>37.333333333333329</v>
      </c>
      <c r="I31">
        <v>4.8996674999943934</v>
      </c>
      <c r="J31">
        <v>2.6194199992460199E-2</v>
      </c>
      <c r="K31">
        <v>4.9258616999868536</v>
      </c>
    </row>
    <row r="32" spans="1:11">
      <c r="A32">
        <v>70000</v>
      </c>
      <c r="B32">
        <v>0.95499999999999996</v>
      </c>
      <c r="C32">
        <v>700</v>
      </c>
      <c r="D32">
        <v>500</v>
      </c>
      <c r="E32">
        <v>31</v>
      </c>
      <c r="F32">
        <v>295.16666666666691</v>
      </c>
      <c r="G32">
        <v>295.16666666666691</v>
      </c>
      <c r="H32">
        <v>43.055555555555571</v>
      </c>
      <c r="I32">
        <v>4.6228814999922179</v>
      </c>
      <c r="J32">
        <v>2.2193800003151409E-2</v>
      </c>
      <c r="K32">
        <v>4.6450752999953693</v>
      </c>
    </row>
    <row r="33" spans="1:11">
      <c r="A33">
        <v>70000</v>
      </c>
      <c r="B33">
        <v>0.95499999999999996</v>
      </c>
      <c r="C33">
        <v>700</v>
      </c>
      <c r="D33">
        <v>500</v>
      </c>
      <c r="E33">
        <v>32</v>
      </c>
      <c r="F33">
        <v>290.58333333333331</v>
      </c>
      <c r="G33">
        <v>290.58333333333331</v>
      </c>
      <c r="H33">
        <v>45.472222222222207</v>
      </c>
      <c r="I33">
        <v>4.576222300005611</v>
      </c>
      <c r="J33">
        <v>2.5649699993664399E-2</v>
      </c>
      <c r="K33">
        <v>4.6018719999992754</v>
      </c>
    </row>
    <row r="34" spans="1:11">
      <c r="A34">
        <v>70000</v>
      </c>
      <c r="B34">
        <v>0.95499999999999996</v>
      </c>
      <c r="C34">
        <v>700</v>
      </c>
      <c r="D34">
        <v>500</v>
      </c>
      <c r="E34">
        <v>33</v>
      </c>
      <c r="F34">
        <v>272.94444444444463</v>
      </c>
      <c r="G34">
        <v>272.94444444444463</v>
      </c>
      <c r="H34">
        <v>38.444444444444457</v>
      </c>
      <c r="I34">
        <v>4.5383169999986421</v>
      </c>
      <c r="J34">
        <v>2.740949999133591E-2</v>
      </c>
      <c r="K34">
        <v>4.565726499989978</v>
      </c>
    </row>
    <row r="35" spans="1:11">
      <c r="A35">
        <v>70000</v>
      </c>
      <c r="B35">
        <v>0.95499999999999996</v>
      </c>
      <c r="C35">
        <v>700</v>
      </c>
      <c r="D35">
        <v>500</v>
      </c>
      <c r="E35">
        <v>34</v>
      </c>
      <c r="F35">
        <v>376.66666666666657</v>
      </c>
      <c r="G35">
        <v>376.66666666666657</v>
      </c>
      <c r="H35">
        <v>49.749999999999993</v>
      </c>
      <c r="I35">
        <v>4.519452900000033</v>
      </c>
      <c r="J35">
        <v>2.232530000037514E-2</v>
      </c>
      <c r="K35">
        <v>4.5417782000004081</v>
      </c>
    </row>
    <row r="36" spans="1:11">
      <c r="A36">
        <v>70000</v>
      </c>
      <c r="B36">
        <v>0.95499999999999996</v>
      </c>
      <c r="C36">
        <v>700</v>
      </c>
      <c r="D36">
        <v>500</v>
      </c>
      <c r="E36">
        <v>35</v>
      </c>
      <c r="F36">
        <v>182.52777777777791</v>
      </c>
      <c r="G36">
        <v>178.7777777777778</v>
      </c>
      <c r="H36">
        <v>21.833333333333339</v>
      </c>
      <c r="I36">
        <v>4.6667966000095484</v>
      </c>
      <c r="J36">
        <v>4.6548099999199621E-2</v>
      </c>
      <c r="K36">
        <v>4.7133447000087472</v>
      </c>
    </row>
    <row r="37" spans="1:11">
      <c r="A37">
        <v>70000</v>
      </c>
      <c r="B37">
        <v>0.95499999999999996</v>
      </c>
      <c r="C37">
        <v>700</v>
      </c>
      <c r="D37">
        <v>500</v>
      </c>
      <c r="E37">
        <v>36</v>
      </c>
      <c r="F37">
        <v>310.77777777777771</v>
      </c>
      <c r="G37">
        <v>308.55555555555537</v>
      </c>
      <c r="H37">
        <v>37.833333333333307</v>
      </c>
      <c r="I37">
        <v>4.3758331999997608</v>
      </c>
      <c r="J37">
        <v>4.4139000005088747E-2</v>
      </c>
      <c r="K37">
        <v>4.4199722000048496</v>
      </c>
    </row>
    <row r="38" spans="1:11">
      <c r="A38">
        <v>70000</v>
      </c>
      <c r="B38">
        <v>0.95499999999999996</v>
      </c>
      <c r="C38">
        <v>700</v>
      </c>
      <c r="D38">
        <v>500</v>
      </c>
      <c r="E38">
        <v>37</v>
      </c>
      <c r="F38">
        <v>313.27777777777783</v>
      </c>
      <c r="G38">
        <v>313.27777777777783</v>
      </c>
      <c r="H38">
        <v>46.305555555555557</v>
      </c>
      <c r="I38">
        <v>4.4544587999989744</v>
      </c>
      <c r="J38">
        <v>2.4106600001687181E-2</v>
      </c>
      <c r="K38">
        <v>4.4785654000006616</v>
      </c>
    </row>
    <row r="39" spans="1:11">
      <c r="A39">
        <v>70000</v>
      </c>
      <c r="B39">
        <v>0.95499999999999996</v>
      </c>
      <c r="C39">
        <v>700</v>
      </c>
      <c r="D39">
        <v>500</v>
      </c>
      <c r="E39">
        <v>38</v>
      </c>
      <c r="F39">
        <v>395.88888888888869</v>
      </c>
      <c r="G39">
        <v>395.88888888888869</v>
      </c>
      <c r="H39">
        <v>55.9722222222222</v>
      </c>
      <c r="I39">
        <v>4.4198136000049999</v>
      </c>
      <c r="J39">
        <v>2.3183800003607761E-2</v>
      </c>
      <c r="K39">
        <v>4.4429974000086077</v>
      </c>
    </row>
    <row r="40" spans="1:11">
      <c r="A40">
        <v>70000</v>
      </c>
      <c r="B40">
        <v>0.95499999999999996</v>
      </c>
      <c r="C40">
        <v>700</v>
      </c>
      <c r="D40">
        <v>500</v>
      </c>
      <c r="E40">
        <v>39</v>
      </c>
      <c r="F40">
        <v>314.77777777777783</v>
      </c>
      <c r="G40">
        <v>314.77777777777783</v>
      </c>
      <c r="H40">
        <v>46.166666666666671</v>
      </c>
      <c r="I40">
        <v>4.3814789000025476</v>
      </c>
      <c r="J40">
        <v>2.708269999129698E-2</v>
      </c>
      <c r="K40">
        <v>4.4085615999938446</v>
      </c>
    </row>
    <row r="41" spans="1:11">
      <c r="A41">
        <v>70000</v>
      </c>
      <c r="B41">
        <v>0.95499999999999996</v>
      </c>
      <c r="C41">
        <v>700</v>
      </c>
      <c r="D41">
        <v>500</v>
      </c>
      <c r="E41">
        <v>40</v>
      </c>
      <c r="F41">
        <v>444.77777777777783</v>
      </c>
      <c r="G41">
        <v>444.77777777777783</v>
      </c>
      <c r="H41">
        <v>63.916666666666671</v>
      </c>
      <c r="I41">
        <v>4.5326510000013513</v>
      </c>
      <c r="J41">
        <v>2.5055799997062419E-2</v>
      </c>
      <c r="K41">
        <v>4.5577067999984138</v>
      </c>
    </row>
    <row r="42" spans="1:11">
      <c r="A42">
        <v>70000</v>
      </c>
      <c r="B42">
        <v>0.95499999999999996</v>
      </c>
      <c r="C42">
        <v>700</v>
      </c>
      <c r="D42">
        <v>500</v>
      </c>
      <c r="E42">
        <v>41</v>
      </c>
      <c r="F42">
        <v>623.00000000000011</v>
      </c>
      <c r="G42">
        <v>623.00000000000011</v>
      </c>
      <c r="H42">
        <v>75.277777777777786</v>
      </c>
      <c r="I42">
        <v>4.4393082000024151</v>
      </c>
      <c r="J42">
        <v>2.336209999339189E-2</v>
      </c>
      <c r="K42">
        <v>4.462670299995807</v>
      </c>
    </row>
    <row r="43" spans="1:11">
      <c r="A43">
        <v>70000</v>
      </c>
      <c r="B43">
        <v>0.95499999999999996</v>
      </c>
      <c r="C43">
        <v>700</v>
      </c>
      <c r="D43">
        <v>500</v>
      </c>
      <c r="E43">
        <v>42</v>
      </c>
      <c r="F43">
        <v>349.5</v>
      </c>
      <c r="G43">
        <v>323.5</v>
      </c>
      <c r="H43">
        <v>48</v>
      </c>
      <c r="I43">
        <v>4.3370648999989498</v>
      </c>
      <c r="J43">
        <v>4.4185799997649162E-2</v>
      </c>
      <c r="K43">
        <v>4.381250699996599</v>
      </c>
    </row>
    <row r="44" spans="1:11">
      <c r="A44">
        <v>70000</v>
      </c>
      <c r="B44">
        <v>0.95499999999999996</v>
      </c>
      <c r="C44">
        <v>700</v>
      </c>
      <c r="D44">
        <v>500</v>
      </c>
      <c r="E44">
        <v>43</v>
      </c>
      <c r="F44">
        <v>208.16666666666671</v>
      </c>
      <c r="G44">
        <v>208.16666666666671</v>
      </c>
      <c r="H44">
        <v>29.444444444444439</v>
      </c>
      <c r="I44">
        <v>4.2583569999987958</v>
      </c>
      <c r="J44">
        <v>2.3328200011746961E-2</v>
      </c>
      <c r="K44">
        <v>4.2816852000105428</v>
      </c>
    </row>
    <row r="45" spans="1:11">
      <c r="A45">
        <v>70000</v>
      </c>
      <c r="B45">
        <v>0.95499999999999996</v>
      </c>
      <c r="C45">
        <v>700</v>
      </c>
      <c r="D45">
        <v>500</v>
      </c>
      <c r="E45">
        <v>44</v>
      </c>
      <c r="F45">
        <v>328.33333333333331</v>
      </c>
      <c r="G45">
        <v>328.33333333333331</v>
      </c>
      <c r="H45">
        <v>45.472222222222207</v>
      </c>
      <c r="I45">
        <v>4.3509132000035606</v>
      </c>
      <c r="J45">
        <v>2.1395199990365651E-2</v>
      </c>
      <c r="K45">
        <v>4.3723083999939263</v>
      </c>
    </row>
    <row r="46" spans="1:11">
      <c r="A46">
        <v>70000</v>
      </c>
      <c r="B46">
        <v>0.95499999999999996</v>
      </c>
      <c r="C46">
        <v>700</v>
      </c>
      <c r="D46">
        <v>500</v>
      </c>
      <c r="E46">
        <v>45</v>
      </c>
      <c r="F46">
        <v>292.27777777777771</v>
      </c>
      <c r="G46">
        <v>292.27777777777771</v>
      </c>
      <c r="H46">
        <v>42.083333333333329</v>
      </c>
      <c r="I46">
        <v>4.3624550000095041</v>
      </c>
      <c r="J46">
        <v>2.2986299998592589E-2</v>
      </c>
      <c r="K46">
        <v>4.3854413000080967</v>
      </c>
    </row>
    <row r="47" spans="1:11">
      <c r="A47">
        <v>70000</v>
      </c>
      <c r="B47">
        <v>0.95499999999999996</v>
      </c>
      <c r="C47">
        <v>700</v>
      </c>
      <c r="D47">
        <v>500</v>
      </c>
      <c r="E47">
        <v>46</v>
      </c>
      <c r="F47">
        <v>601.55555555555543</v>
      </c>
      <c r="G47">
        <v>494.55555555555537</v>
      </c>
      <c r="H47">
        <v>70.499999999999972</v>
      </c>
      <c r="I47">
        <v>4.3583565000008093</v>
      </c>
      <c r="J47">
        <v>0.108824499999173</v>
      </c>
      <c r="K47">
        <v>4.4671809999999823</v>
      </c>
    </row>
    <row r="48" spans="1:11">
      <c r="A48">
        <v>70000</v>
      </c>
      <c r="B48">
        <v>0.95499999999999996</v>
      </c>
      <c r="C48">
        <v>700</v>
      </c>
      <c r="D48">
        <v>500</v>
      </c>
      <c r="E48">
        <v>47</v>
      </c>
      <c r="F48">
        <v>303.91666666666652</v>
      </c>
      <c r="G48">
        <v>303.91666666666652</v>
      </c>
      <c r="H48">
        <v>46.41666666666665</v>
      </c>
      <c r="I48">
        <v>4.2694906999968234</v>
      </c>
      <c r="J48">
        <v>2.4070600004051809E-2</v>
      </c>
      <c r="K48">
        <v>4.2935613000008743</v>
      </c>
    </row>
    <row r="49" spans="1:11">
      <c r="A49">
        <v>70000</v>
      </c>
      <c r="B49">
        <v>0.95499999999999996</v>
      </c>
      <c r="C49">
        <v>700</v>
      </c>
      <c r="D49">
        <v>500</v>
      </c>
      <c r="E49">
        <v>48</v>
      </c>
      <c r="F49">
        <v>573.75</v>
      </c>
      <c r="G49">
        <v>548.08333333333326</v>
      </c>
      <c r="H49">
        <v>61.583333333333307</v>
      </c>
      <c r="I49">
        <v>4.3390282999898773</v>
      </c>
      <c r="J49">
        <v>8.7761600007070228E-2</v>
      </c>
      <c r="K49">
        <v>4.4267898999969466</v>
      </c>
    </row>
    <row r="50" spans="1:11">
      <c r="A50">
        <v>70000</v>
      </c>
      <c r="B50">
        <v>0.95499999999999996</v>
      </c>
      <c r="C50">
        <v>700</v>
      </c>
      <c r="D50">
        <v>500</v>
      </c>
      <c r="E50">
        <v>49</v>
      </c>
      <c r="F50">
        <v>171.33333333333329</v>
      </c>
      <c r="G50">
        <v>171.33333333333329</v>
      </c>
      <c r="H50">
        <v>28</v>
      </c>
      <c r="I50">
        <v>4.3137439999991329</v>
      </c>
      <c r="J50">
        <v>2.245790000597481E-2</v>
      </c>
      <c r="K50">
        <v>4.3362019000051077</v>
      </c>
    </row>
    <row r="51" spans="1:11">
      <c r="A51">
        <v>70000</v>
      </c>
      <c r="B51">
        <v>0.95499999999999996</v>
      </c>
      <c r="C51">
        <v>700</v>
      </c>
      <c r="D51">
        <v>500</v>
      </c>
      <c r="E51">
        <v>88</v>
      </c>
      <c r="F51">
        <v>351.6388888888888</v>
      </c>
      <c r="G51">
        <v>351.6388888888888</v>
      </c>
      <c r="H51">
        <v>49.222222222222207</v>
      </c>
      <c r="I51">
        <v>4.8623893000039971</v>
      </c>
      <c r="J51">
        <v>2.728169999318197E-2</v>
      </c>
      <c r="K51">
        <v>4.889670999997179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B91C-B282-4EB2-B5F5-95E10D8AC8A8}">
  <dimension ref="A1:E51"/>
  <sheetViews>
    <sheetView tabSelected="1" workbookViewId="0">
      <selection activeCell="H22" sqref="H22"/>
    </sheetView>
  </sheetViews>
  <sheetFormatPr defaultRowHeight="15"/>
  <cols>
    <col min="1" max="1" width="13.140625" bestFit="1" customWidth="1"/>
    <col min="2" max="2" width="12.5703125" bestFit="1" customWidth="1"/>
    <col min="3" max="3" width="11.7109375" bestFit="1" customWidth="1"/>
    <col min="4" max="4" width="11.42578125" bestFit="1" customWidth="1"/>
  </cols>
  <sheetData>
    <row r="1" spans="1:5">
      <c r="A1" t="s">
        <v>4</v>
      </c>
      <c r="B1" t="s">
        <v>6</v>
      </c>
      <c r="C1" t="s">
        <v>16</v>
      </c>
    </row>
    <row r="2" spans="1:5">
      <c r="A2">
        <v>1</v>
      </c>
      <c r="B2">
        <v>287.5</v>
      </c>
      <c r="C2" t="str">
        <f>IF(OR(B2&lt;$E$5,B2&gt;$E$6),"Uitschieter","Normaal")</f>
        <v>Normaal</v>
      </c>
      <c r="D2" t="s">
        <v>11</v>
      </c>
      <c r="E2">
        <f>_xlfn.QUARTILE.INC(B2:B51,1)</f>
        <v>269.59027777777789</v>
      </c>
    </row>
    <row r="3" spans="1:5">
      <c r="A3">
        <v>2</v>
      </c>
      <c r="B3">
        <v>374.2777777777776</v>
      </c>
      <c r="C3" t="str">
        <f t="shared" ref="C3:C51" si="0">IF(OR(B3&lt;$E$5,B3&gt;$E$6),"Uitschieter","Normaal")</f>
        <v>Normaal</v>
      </c>
      <c r="D3" t="s">
        <v>12</v>
      </c>
      <c r="E3" s="1">
        <f>_xlfn.QUARTILE.INC(B2:B51,3)</f>
        <v>376.27083333333326</v>
      </c>
    </row>
    <row r="4" spans="1:5">
      <c r="A4">
        <v>3</v>
      </c>
      <c r="B4">
        <v>248.0833333333334</v>
      </c>
      <c r="C4" t="str">
        <f t="shared" si="0"/>
        <v>Normaal</v>
      </c>
      <c r="D4" t="s">
        <v>13</v>
      </c>
      <c r="E4" s="1">
        <f>E3-E2</f>
        <v>106.68055555555537</v>
      </c>
    </row>
    <row r="5" spans="1:5">
      <c r="A5">
        <v>4</v>
      </c>
      <c r="B5">
        <v>309.27777777777783</v>
      </c>
      <c r="C5" t="str">
        <f t="shared" si="0"/>
        <v>Normaal</v>
      </c>
      <c r="D5" t="s">
        <v>14</v>
      </c>
      <c r="E5" s="1">
        <f>E2-1.5*E4</f>
        <v>109.56944444444483</v>
      </c>
    </row>
    <row r="6" spans="1:5">
      <c r="A6">
        <v>5</v>
      </c>
      <c r="B6">
        <v>249.3888888888886</v>
      </c>
      <c r="C6" t="str">
        <f t="shared" si="0"/>
        <v>Normaal</v>
      </c>
      <c r="D6" t="s">
        <v>15</v>
      </c>
      <c r="E6" s="1">
        <f>E3+1.5*E4</f>
        <v>536.29166666666629</v>
      </c>
    </row>
    <row r="7" spans="1:5">
      <c r="A7">
        <v>6</v>
      </c>
      <c r="B7">
        <v>306.00000000000023</v>
      </c>
      <c r="C7" t="str">
        <f t="shared" si="0"/>
        <v>Normaal</v>
      </c>
    </row>
    <row r="8" spans="1:5">
      <c r="A8">
        <v>7</v>
      </c>
      <c r="B8">
        <v>533.33333333333326</v>
      </c>
      <c r="C8" t="str">
        <f t="shared" si="0"/>
        <v>Normaal</v>
      </c>
    </row>
    <row r="9" spans="1:5">
      <c r="A9">
        <v>8</v>
      </c>
      <c r="B9">
        <v>333.33333333333343</v>
      </c>
      <c r="C9" t="str">
        <f t="shared" si="0"/>
        <v>Normaal</v>
      </c>
    </row>
    <row r="10" spans="1:5">
      <c r="A10">
        <v>9</v>
      </c>
      <c r="B10">
        <v>228.2777777777778</v>
      </c>
      <c r="C10" t="str">
        <f t="shared" si="0"/>
        <v>Normaal</v>
      </c>
    </row>
    <row r="11" spans="1:5">
      <c r="A11">
        <v>10</v>
      </c>
      <c r="B11">
        <v>375.08333333333331</v>
      </c>
      <c r="C11" t="str">
        <f t="shared" si="0"/>
        <v>Normaal</v>
      </c>
    </row>
    <row r="12" spans="1:5">
      <c r="A12">
        <v>11</v>
      </c>
      <c r="B12">
        <v>168.5</v>
      </c>
      <c r="C12" t="str">
        <f t="shared" si="0"/>
        <v>Normaal</v>
      </c>
    </row>
    <row r="13" spans="1:5">
      <c r="A13">
        <v>12</v>
      </c>
      <c r="B13">
        <v>279.69444444444429</v>
      </c>
      <c r="C13" t="str">
        <f t="shared" si="0"/>
        <v>Normaal</v>
      </c>
    </row>
    <row r="14" spans="1:5">
      <c r="A14">
        <v>13</v>
      </c>
      <c r="B14">
        <v>282.83333333333343</v>
      </c>
      <c r="C14" t="str">
        <f t="shared" si="0"/>
        <v>Normaal</v>
      </c>
    </row>
    <row r="15" spans="1:5">
      <c r="A15">
        <v>14</v>
      </c>
      <c r="B15">
        <v>267.94444444444451</v>
      </c>
      <c r="C15" t="str">
        <f t="shared" si="0"/>
        <v>Normaal</v>
      </c>
    </row>
    <row r="16" spans="1:5">
      <c r="A16">
        <v>15</v>
      </c>
      <c r="B16">
        <v>254.02777777777769</v>
      </c>
      <c r="C16" t="str">
        <f t="shared" si="0"/>
        <v>Normaal</v>
      </c>
    </row>
    <row r="17" spans="1:3">
      <c r="A17">
        <v>16</v>
      </c>
      <c r="B17">
        <v>612.91666666666652</v>
      </c>
      <c r="C17" t="str">
        <f t="shared" si="0"/>
        <v>Uitschieter</v>
      </c>
    </row>
    <row r="18" spans="1:3">
      <c r="A18">
        <v>17</v>
      </c>
      <c r="B18">
        <v>482.66666666666669</v>
      </c>
      <c r="C18" t="str">
        <f t="shared" si="0"/>
        <v>Normaal</v>
      </c>
    </row>
    <row r="19" spans="1:3">
      <c r="A19">
        <v>18</v>
      </c>
      <c r="B19">
        <v>328.58333333333343</v>
      </c>
      <c r="C19" t="str">
        <f t="shared" si="0"/>
        <v>Normaal</v>
      </c>
    </row>
    <row r="20" spans="1:3">
      <c r="A20">
        <v>19</v>
      </c>
      <c r="B20">
        <v>268.47222222222229</v>
      </c>
      <c r="C20" t="str">
        <f t="shared" si="0"/>
        <v>Normaal</v>
      </c>
    </row>
    <row r="21" spans="1:3">
      <c r="A21">
        <v>20</v>
      </c>
      <c r="B21">
        <v>522.5</v>
      </c>
      <c r="C21" t="str">
        <f t="shared" si="0"/>
        <v>Normaal</v>
      </c>
    </row>
    <row r="22" spans="1:3">
      <c r="A22">
        <v>21</v>
      </c>
      <c r="B22">
        <v>333.61111111111109</v>
      </c>
      <c r="C22" t="str">
        <f t="shared" si="0"/>
        <v>Normaal</v>
      </c>
    </row>
    <row r="23" spans="1:3">
      <c r="A23">
        <v>22</v>
      </c>
      <c r="B23">
        <v>390.6111111111112</v>
      </c>
      <c r="C23" t="str">
        <f t="shared" si="0"/>
        <v>Normaal</v>
      </c>
    </row>
    <row r="24" spans="1:3">
      <c r="A24">
        <v>23</v>
      </c>
      <c r="B24">
        <v>192.4444444444446</v>
      </c>
      <c r="C24" t="str">
        <f t="shared" si="0"/>
        <v>Normaal</v>
      </c>
    </row>
    <row r="25" spans="1:3">
      <c r="A25">
        <v>24</v>
      </c>
      <c r="B25">
        <v>246.7777777777776</v>
      </c>
      <c r="C25" t="str">
        <f t="shared" si="0"/>
        <v>Normaal</v>
      </c>
    </row>
    <row r="26" spans="1:3">
      <c r="A26">
        <v>25</v>
      </c>
      <c r="B26">
        <v>461.94444444444451</v>
      </c>
      <c r="C26" t="str">
        <f t="shared" si="0"/>
        <v>Normaal</v>
      </c>
    </row>
    <row r="27" spans="1:3">
      <c r="A27">
        <v>26</v>
      </c>
      <c r="B27">
        <v>378</v>
      </c>
      <c r="C27" t="str">
        <f t="shared" si="0"/>
        <v>Normaal</v>
      </c>
    </row>
    <row r="28" spans="1:3">
      <c r="A28">
        <v>27</v>
      </c>
      <c r="B28">
        <v>334.94444444444417</v>
      </c>
      <c r="C28" t="str">
        <f t="shared" si="0"/>
        <v>Normaal</v>
      </c>
    </row>
    <row r="29" spans="1:3">
      <c r="A29">
        <v>28</v>
      </c>
      <c r="B29">
        <v>315.8333333333336</v>
      </c>
      <c r="C29" t="str">
        <f t="shared" si="0"/>
        <v>Normaal</v>
      </c>
    </row>
    <row r="30" spans="1:3">
      <c r="A30">
        <v>29</v>
      </c>
      <c r="B30">
        <v>358.02777777777749</v>
      </c>
      <c r="C30" t="str">
        <f t="shared" si="0"/>
        <v>Normaal</v>
      </c>
    </row>
    <row r="31" spans="1:3">
      <c r="A31">
        <v>30</v>
      </c>
      <c r="B31">
        <v>252.61111111111109</v>
      </c>
      <c r="C31" t="str">
        <f t="shared" si="0"/>
        <v>Normaal</v>
      </c>
    </row>
    <row r="32" spans="1:3">
      <c r="A32">
        <v>31</v>
      </c>
      <c r="B32">
        <v>295.16666666666691</v>
      </c>
      <c r="C32" t="str">
        <f t="shared" si="0"/>
        <v>Normaal</v>
      </c>
    </row>
    <row r="33" spans="1:3">
      <c r="A33">
        <v>32</v>
      </c>
      <c r="B33">
        <v>290.58333333333331</v>
      </c>
      <c r="C33" t="str">
        <f t="shared" si="0"/>
        <v>Normaal</v>
      </c>
    </row>
    <row r="34" spans="1:3">
      <c r="A34">
        <v>33</v>
      </c>
      <c r="B34">
        <v>272.94444444444463</v>
      </c>
      <c r="C34" t="str">
        <f t="shared" si="0"/>
        <v>Normaal</v>
      </c>
    </row>
    <row r="35" spans="1:3">
      <c r="A35">
        <v>34</v>
      </c>
      <c r="B35">
        <v>376.66666666666657</v>
      </c>
      <c r="C35" t="str">
        <f t="shared" si="0"/>
        <v>Normaal</v>
      </c>
    </row>
    <row r="36" spans="1:3">
      <c r="A36">
        <v>35</v>
      </c>
      <c r="B36">
        <v>178.7777777777778</v>
      </c>
      <c r="C36" t="str">
        <f t="shared" si="0"/>
        <v>Normaal</v>
      </c>
    </row>
    <row r="37" spans="1:3">
      <c r="A37">
        <v>36</v>
      </c>
      <c r="B37">
        <v>308.55555555555537</v>
      </c>
      <c r="C37" t="str">
        <f t="shared" si="0"/>
        <v>Normaal</v>
      </c>
    </row>
    <row r="38" spans="1:3">
      <c r="A38">
        <v>37</v>
      </c>
      <c r="B38">
        <v>313.27777777777783</v>
      </c>
      <c r="C38" t="str">
        <f t="shared" si="0"/>
        <v>Normaal</v>
      </c>
    </row>
    <row r="39" spans="1:3">
      <c r="A39">
        <v>38</v>
      </c>
      <c r="B39">
        <v>395.88888888888869</v>
      </c>
      <c r="C39" t="str">
        <f t="shared" si="0"/>
        <v>Normaal</v>
      </c>
    </row>
    <row r="40" spans="1:3">
      <c r="A40">
        <v>39</v>
      </c>
      <c r="B40">
        <v>314.77777777777783</v>
      </c>
      <c r="C40" t="str">
        <f t="shared" si="0"/>
        <v>Normaal</v>
      </c>
    </row>
    <row r="41" spans="1:3">
      <c r="A41">
        <v>40</v>
      </c>
      <c r="B41">
        <v>444.77777777777783</v>
      </c>
      <c r="C41" t="str">
        <f t="shared" si="0"/>
        <v>Normaal</v>
      </c>
    </row>
    <row r="42" spans="1:3">
      <c r="A42">
        <v>41</v>
      </c>
      <c r="B42">
        <v>623.00000000000011</v>
      </c>
      <c r="C42" t="str">
        <f t="shared" si="0"/>
        <v>Uitschieter</v>
      </c>
    </row>
    <row r="43" spans="1:3">
      <c r="A43">
        <v>42</v>
      </c>
      <c r="B43">
        <v>323.5</v>
      </c>
      <c r="C43" t="str">
        <f t="shared" si="0"/>
        <v>Normaal</v>
      </c>
    </row>
    <row r="44" spans="1:3">
      <c r="A44">
        <v>43</v>
      </c>
      <c r="B44">
        <v>208.16666666666671</v>
      </c>
      <c r="C44" t="str">
        <f t="shared" si="0"/>
        <v>Normaal</v>
      </c>
    </row>
    <row r="45" spans="1:3">
      <c r="A45">
        <v>44</v>
      </c>
      <c r="B45">
        <v>328.33333333333331</v>
      </c>
      <c r="C45" t="str">
        <f t="shared" si="0"/>
        <v>Normaal</v>
      </c>
    </row>
    <row r="46" spans="1:3">
      <c r="A46">
        <v>45</v>
      </c>
      <c r="B46">
        <v>292.27777777777771</v>
      </c>
      <c r="C46" t="str">
        <f t="shared" si="0"/>
        <v>Normaal</v>
      </c>
    </row>
    <row r="47" spans="1:3">
      <c r="A47">
        <v>46</v>
      </c>
      <c r="B47">
        <v>494.55555555555537</v>
      </c>
      <c r="C47" t="str">
        <f t="shared" si="0"/>
        <v>Normaal</v>
      </c>
    </row>
    <row r="48" spans="1:3">
      <c r="A48">
        <v>47</v>
      </c>
      <c r="B48">
        <v>303.91666666666652</v>
      </c>
      <c r="C48" t="str">
        <f t="shared" si="0"/>
        <v>Normaal</v>
      </c>
    </row>
    <row r="49" spans="1:3">
      <c r="A49">
        <v>48</v>
      </c>
      <c r="B49">
        <v>548.08333333333326</v>
      </c>
      <c r="C49" t="str">
        <f t="shared" si="0"/>
        <v>Uitschieter</v>
      </c>
    </row>
    <row r="50" spans="1:3">
      <c r="A50">
        <v>49</v>
      </c>
      <c r="B50">
        <v>171.33333333333329</v>
      </c>
      <c r="C50" t="str">
        <f t="shared" si="0"/>
        <v>Normaal</v>
      </c>
    </row>
    <row r="51" spans="1:3">
      <c r="A51">
        <v>88</v>
      </c>
      <c r="B51">
        <v>351.6388888888888</v>
      </c>
      <c r="C51" t="str">
        <f t="shared" si="0"/>
        <v>Normaal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seeds</vt:lpstr>
      <vt:lpstr>Boxplot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2026-10-22T15:10:22Z</dcterms:created>
  <dcterms:modified xsi:type="dcterms:W3CDTF">2026-10-22T15:41:15Z</dcterms:modified>
</cp:coreProperties>
</file>