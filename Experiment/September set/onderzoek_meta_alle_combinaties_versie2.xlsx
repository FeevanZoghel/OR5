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f2810a0d4408f349/Documenten/GitHub/OR5/Experiment/September set/"/>
    </mc:Choice>
  </mc:AlternateContent>
  <xr:revisionPtr revIDLastSave="80" documentId="11_76F94C795072F00F3502D5F0505ED87656CDA277" xr6:coauthVersionLast="47" xr6:coauthVersionMax="47" xr10:uidLastSave="{8532D005-A410-4BD6-89C8-451526C95332}"/>
  <bookViews>
    <workbookView xWindow="-28920" yWindow="4965" windowWidth="29040" windowHeight="17520" xr2:uid="{00000000-000D-0000-FFFF-FFFF00000000}"/>
  </bookViews>
  <sheets>
    <sheet name="Alle combinat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2" i="1"/>
</calcChain>
</file>

<file path=xl/sharedStrings.xml><?xml version="1.0" encoding="utf-8"?>
<sst xmlns="http://schemas.openxmlformats.org/spreadsheetml/2006/main" count="15" uniqueCount="15">
  <si>
    <t>Experiment</t>
  </si>
  <si>
    <t>M1 (%)</t>
  </si>
  <si>
    <t>M2 (%)</t>
  </si>
  <si>
    <t>M3 (%)</t>
  </si>
  <si>
    <t>Capaciteitsverhoging (%)</t>
  </si>
  <si>
    <t>Penalty SA</t>
  </si>
  <si>
    <t>Penalty SA Improved</t>
  </si>
  <si>
    <t>Rekentijd SA (s)</t>
  </si>
  <si>
    <t>Rekentijd Improving (s)</t>
  </si>
  <si>
    <t>Totale rekentijd (s)</t>
  </si>
  <si>
    <t xml:space="preserve">totaal </t>
  </si>
  <si>
    <t>Column1</t>
  </si>
  <si>
    <t>Column2</t>
  </si>
  <si>
    <t>Totale machineversnelling (%)</t>
  </si>
  <si>
    <t>Minimale totale penalty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</si>
</sst>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'Alle combinaties'!$Q$1</c:f>
              <c:strCache>
                <c:ptCount val="1"/>
                <c:pt idx="0">
                  <c:v>Minimale totale penalty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'Alle combinaties'!$P$2:$P$19</c:f>
              <c:numCache>
                <c:formatCode>General</c:formatCode>
                <c:ptCount val="18"/>
                <c:pt idx="0">
                  <c:v>60</c:v>
                </c:pt>
                <c:pt idx="1">
                  <c:v>61</c:v>
                </c:pt>
                <c:pt idx="2">
                  <c:v>62</c:v>
                </c:pt>
                <c:pt idx="3">
                  <c:v>63</c:v>
                </c:pt>
                <c:pt idx="4">
                  <c:v>64</c:v>
                </c:pt>
                <c:pt idx="5">
                  <c:v>65</c:v>
                </c:pt>
                <c:pt idx="6">
                  <c:v>66</c:v>
                </c:pt>
                <c:pt idx="7">
                  <c:v>67</c:v>
                </c:pt>
                <c:pt idx="8">
                  <c:v>68</c:v>
                </c:pt>
                <c:pt idx="9">
                  <c:v>69</c:v>
                </c:pt>
                <c:pt idx="10">
                  <c:v>70</c:v>
                </c:pt>
                <c:pt idx="11">
                  <c:v>71</c:v>
                </c:pt>
                <c:pt idx="12">
                  <c:v>72</c:v>
                </c:pt>
                <c:pt idx="13">
                  <c:v>73</c:v>
                </c:pt>
                <c:pt idx="14">
                  <c:v>74</c:v>
                </c:pt>
                <c:pt idx="15">
                  <c:v>75</c:v>
                </c:pt>
                <c:pt idx="16">
                  <c:v>76</c:v>
                </c:pt>
                <c:pt idx="17">
                  <c:v>77</c:v>
                </c:pt>
              </c:numCache>
            </c:numRef>
          </c:xVal>
          <c:yVal>
            <c:numRef>
              <c:f>'Alle combinaties'!$Q$2:$Q$19</c:f>
              <c:numCache>
                <c:formatCode>General</c:formatCode>
                <c:ptCount val="18"/>
                <c:pt idx="0">
                  <c:v>21.500000000000082</c:v>
                </c:pt>
                <c:pt idx="1">
                  <c:v>8.333333333333357</c:v>
                </c:pt>
                <c:pt idx="2">
                  <c:v>7.4104683195592358</c:v>
                </c:pt>
                <c:pt idx="3">
                  <c:v>0</c:v>
                </c:pt>
                <c:pt idx="4">
                  <c:v>8.9946236559139763</c:v>
                </c:pt>
                <c:pt idx="5">
                  <c:v>10.5</c:v>
                </c:pt>
                <c:pt idx="6">
                  <c:v>0</c:v>
                </c:pt>
                <c:pt idx="7">
                  <c:v>0</c:v>
                </c:pt>
                <c:pt idx="8">
                  <c:v>6.9135802469135683</c:v>
                </c:pt>
                <c:pt idx="9">
                  <c:v>1.9999999999999929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0.83464566929134065</c:v>
                </c:pt>
                <c:pt idx="14">
                  <c:v>1.391076115485568</c:v>
                </c:pt>
                <c:pt idx="15">
                  <c:v>4.3333333333333641</c:v>
                </c:pt>
                <c:pt idx="16">
                  <c:v>1.844961240310155</c:v>
                </c:pt>
                <c:pt idx="17">
                  <c:v>10.5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25-478F-83C6-0842DBB880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529391"/>
        <c:axId val="1033232831"/>
      </c:scatterChart>
      <c:valAx>
        <c:axId val="1948529391"/>
        <c:scaling>
          <c:orientation val="minMax"/>
          <c:min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Totale machineversnelling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033232831"/>
        <c:crosses val="autoZero"/>
        <c:crossBetween val="midCat"/>
      </c:valAx>
      <c:valAx>
        <c:axId val="103323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Minimale</a:t>
                </a:r>
                <a:r>
                  <a:rPr lang="nl-NL" baseline="0"/>
                  <a:t> totale penalty</a:t>
                </a:r>
                <a:endParaRPr lang="nl-N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948529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835025</xdr:colOff>
      <xdr:row>20</xdr:row>
      <xdr:rowOff>179387</xdr:rowOff>
    </xdr:from>
    <xdr:to>
      <xdr:col>20</xdr:col>
      <xdr:colOff>168275</xdr:colOff>
      <xdr:row>36</xdr:row>
      <xdr:rowOff>17462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FAEB8F8-40F0-5569-326E-DF30BE92E2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ECCBA43-3047-4E61-A55C-C0AE2EBA5F4E}" name="Table3" displayName="Table3" ref="A1:M95" totalsRowShown="0">
  <autoFilter ref="A1:M95" xr:uid="{6ECCBA43-3047-4E61-A55C-C0AE2EBA5F4E}"/>
  <sortState xmlns:xlrd2="http://schemas.microsoft.com/office/spreadsheetml/2017/richdata2" ref="A2:M95">
    <sortCondition ref="M1:M95"/>
  </sortState>
  <tableColumns count="13">
    <tableColumn id="1" xr3:uid="{B530889C-B7C4-4E33-9B21-00811D87202B}" name="Experiment"/>
    <tableColumn id="2" xr3:uid="{ACA4BC7A-C9CC-47CE-A23A-7E0DAFD22254}" name="M1 (%)"/>
    <tableColumn id="3" xr3:uid="{C3C212F1-FD6F-4DFB-A3AC-2CDCFA7DDFE1}" name="M2 (%)"/>
    <tableColumn id="4" xr3:uid="{1060F6E9-56C0-42C4-881A-683A46AE3687}" name="M3 (%)"/>
    <tableColumn id="5" xr3:uid="{E4346EDF-17EA-43F6-A099-A0196B363122}" name="Capaciteitsverhoging (%)"/>
    <tableColumn id="6" xr3:uid="{25BADCAB-9ACE-4F9F-A756-28C3883F9BA1}" name="Penalty SA"/>
    <tableColumn id="7" xr3:uid="{66F95BE4-FAB0-4BD7-B4AA-605809C2A56C}" name="Penalty SA Improved"/>
    <tableColumn id="8" xr3:uid="{A4186681-4BEC-4E82-BC30-1E883326A92F}" name="Rekentijd SA (s)"/>
    <tableColumn id="9" xr3:uid="{4C72E624-2BA3-4B2C-AC12-8C55FA4FFFCB}" name="Rekentijd Improving (s)"/>
    <tableColumn id="10" xr3:uid="{84204326-9042-421D-A8D6-FF0163EE4268}" name="Totale rekentijd (s)"/>
    <tableColumn id="11" xr3:uid="{3D1CF59D-1235-4B69-904D-7658B04C8BC1}" name="Column1"/>
    <tableColumn id="12" xr3:uid="{B93D30D5-66B9-4908-9EE4-C5CA521A7BB0}" name="Column2"/>
    <tableColumn id="13" xr3:uid="{969DCF5F-A311-4E84-934C-223697247CB1}" name="totaal " dataDxfId="0">
      <calculatedColumnFormula>SUM(Table3[[#This Row],[M1 (%)]:[M3 (%)]])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5"/>
  <sheetViews>
    <sheetView tabSelected="1" topLeftCell="G1" workbookViewId="0">
      <selection activeCell="U29" sqref="U29"/>
    </sheetView>
  </sheetViews>
  <sheetFormatPr defaultRowHeight="14.5" x14ac:dyDescent="0.35"/>
  <cols>
    <col min="1" max="1" width="12.7265625" customWidth="1"/>
    <col min="2" max="4" width="8.90625" customWidth="1"/>
    <col min="5" max="5" width="23.90625" customWidth="1"/>
    <col min="6" max="6" width="11.90625" customWidth="1"/>
    <col min="7" max="7" width="20.453125" customWidth="1"/>
    <col min="8" max="8" width="16.26953125" customWidth="1"/>
    <col min="9" max="9" width="22.6328125" customWidth="1"/>
    <col min="10" max="10" width="19" customWidth="1"/>
    <col min="11" max="12" width="10.36328125" customWidth="1"/>
    <col min="13" max="13" width="8.90625" customWidth="1"/>
    <col min="16" max="16" width="27.08984375" bestFit="1" customWidth="1"/>
    <col min="17" max="17" width="21.632812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11</v>
      </c>
      <c r="L1" t="s">
        <v>12</v>
      </c>
      <c r="M1" t="s">
        <v>10</v>
      </c>
      <c r="P1" t="s">
        <v>13</v>
      </c>
      <c r="Q1" t="s">
        <v>14</v>
      </c>
    </row>
    <row r="2" spans="1:17" x14ac:dyDescent="0.35">
      <c r="A2">
        <v>1</v>
      </c>
      <c r="B2">
        <v>20</v>
      </c>
      <c r="C2">
        <v>20</v>
      </c>
      <c r="D2">
        <v>20</v>
      </c>
      <c r="E2">
        <v>20</v>
      </c>
      <c r="F2">
        <v>21.500000000000082</v>
      </c>
      <c r="G2">
        <v>21.500000000000082</v>
      </c>
      <c r="H2">
        <v>39.223440300003858</v>
      </c>
      <c r="I2">
        <v>2.097349998075515E-2</v>
      </c>
      <c r="J2">
        <v>39.244413799984613</v>
      </c>
      <c r="M2">
        <f>SUM(Table3[[#This Row],[M1 (%)]:[M3 (%)]])</f>
        <v>60</v>
      </c>
      <c r="P2">
        <v>60</v>
      </c>
      <c r="Q2">
        <f>_xlfn.MINIFS($G:$G,$M:$M,P2)</f>
        <v>21.500000000000082</v>
      </c>
    </row>
    <row r="3" spans="1:17" x14ac:dyDescent="0.35">
      <c r="A3">
        <v>2</v>
      </c>
      <c r="B3">
        <v>20</v>
      </c>
      <c r="C3">
        <v>20</v>
      </c>
      <c r="D3">
        <v>21</v>
      </c>
      <c r="E3">
        <v>20.29032258064516</v>
      </c>
      <c r="F3">
        <v>8.333333333333357</v>
      </c>
      <c r="G3">
        <v>8.333333333333357</v>
      </c>
      <c r="H3">
        <v>37.527359500003513</v>
      </c>
      <c r="I3">
        <v>3.2130799983860918E-2</v>
      </c>
      <c r="J3">
        <v>37.559490299987367</v>
      </c>
      <c r="M3">
        <f>SUM(Table3[[#This Row],[M1 (%)]:[M3 (%)]])</f>
        <v>61</v>
      </c>
      <c r="P3">
        <v>61</v>
      </c>
      <c r="Q3">
        <f t="shared" ref="Q3:Q19" si="0">_xlfn.MINIFS($G:$G,$M:$M,P3)</f>
        <v>8.333333333333357</v>
      </c>
    </row>
    <row r="4" spans="1:17" x14ac:dyDescent="0.35">
      <c r="A4">
        <v>12</v>
      </c>
      <c r="B4">
        <v>20</v>
      </c>
      <c r="C4">
        <v>21</v>
      </c>
      <c r="D4">
        <v>20</v>
      </c>
      <c r="E4">
        <v>20.387096774193552</v>
      </c>
      <c r="F4">
        <v>59.157024793388437</v>
      </c>
      <c r="G4">
        <v>59.157024793388437</v>
      </c>
      <c r="H4">
        <v>37.306280599994352</v>
      </c>
      <c r="I4">
        <v>2.48859999992419E-2</v>
      </c>
      <c r="J4">
        <v>37.331166599993587</v>
      </c>
      <c r="M4">
        <f>SUM(Table3[[#This Row],[M1 (%)]:[M3 (%)]])</f>
        <v>61</v>
      </c>
      <c r="P4">
        <v>62</v>
      </c>
      <c r="Q4">
        <f t="shared" si="0"/>
        <v>7.4104683195592358</v>
      </c>
    </row>
    <row r="5" spans="1:17" x14ac:dyDescent="0.35">
      <c r="A5">
        <v>3</v>
      </c>
      <c r="B5">
        <v>20</v>
      </c>
      <c r="C5">
        <v>20</v>
      </c>
      <c r="D5">
        <v>22</v>
      </c>
      <c r="E5">
        <v>20.580645161290299</v>
      </c>
      <c r="F5">
        <v>20.950819672131129</v>
      </c>
      <c r="G5">
        <v>20.950819672131129</v>
      </c>
      <c r="H5">
        <v>35.891219499986619</v>
      </c>
      <c r="I5">
        <v>1.818069998989813E-2</v>
      </c>
      <c r="J5">
        <v>35.909400199976517</v>
      </c>
      <c r="M5">
        <f>SUM(Table3[[#This Row],[M1 (%)]:[M3 (%)]])</f>
        <v>62</v>
      </c>
      <c r="P5">
        <v>63</v>
      </c>
      <c r="Q5">
        <f t="shared" si="0"/>
        <v>0</v>
      </c>
    </row>
    <row r="6" spans="1:17" x14ac:dyDescent="0.35">
      <c r="A6">
        <v>13</v>
      </c>
      <c r="B6">
        <v>20</v>
      </c>
      <c r="C6">
        <v>21</v>
      </c>
      <c r="D6">
        <v>21</v>
      </c>
      <c r="E6">
        <v>20.67741935483869</v>
      </c>
      <c r="F6">
        <v>7.4104683195592358</v>
      </c>
      <c r="G6">
        <v>7.4104683195592358</v>
      </c>
      <c r="H6">
        <v>36.42789960000664</v>
      </c>
      <c r="I6">
        <v>1.7724199977237731E-2</v>
      </c>
      <c r="J6">
        <v>36.445623799983878</v>
      </c>
      <c r="M6">
        <f>SUM(Table3[[#This Row],[M1 (%)]:[M3 (%)]])</f>
        <v>62</v>
      </c>
      <c r="P6">
        <v>64</v>
      </c>
      <c r="Q6">
        <f t="shared" si="0"/>
        <v>8.9946236559139763</v>
      </c>
    </row>
    <row r="7" spans="1:17" x14ac:dyDescent="0.35">
      <c r="A7">
        <v>23</v>
      </c>
      <c r="B7">
        <v>20</v>
      </c>
      <c r="C7">
        <v>22</v>
      </c>
      <c r="D7">
        <v>20</v>
      </c>
      <c r="E7">
        <v>20.7741935483871</v>
      </c>
      <c r="F7">
        <v>23.99574984820886</v>
      </c>
      <c r="G7">
        <v>23.99574984820886</v>
      </c>
      <c r="H7">
        <v>36.706988799996907</v>
      </c>
      <c r="I7">
        <v>1.8111899989889931E-2</v>
      </c>
      <c r="J7">
        <v>36.725100699986797</v>
      </c>
      <c r="M7">
        <f>SUM(Table3[[#This Row],[M1 (%)]:[M3 (%)]])</f>
        <v>62</v>
      </c>
      <c r="P7">
        <v>65</v>
      </c>
      <c r="Q7">
        <f t="shared" si="0"/>
        <v>10.5</v>
      </c>
    </row>
    <row r="8" spans="1:17" x14ac:dyDescent="0.35">
      <c r="A8">
        <v>4</v>
      </c>
      <c r="B8">
        <v>20</v>
      </c>
      <c r="C8">
        <v>20</v>
      </c>
      <c r="D8">
        <v>23</v>
      </c>
      <c r="E8">
        <v>20.870967741935491</v>
      </c>
      <c r="F8">
        <v>0</v>
      </c>
      <c r="G8">
        <v>0</v>
      </c>
      <c r="H8">
        <v>36.130578000011162</v>
      </c>
      <c r="I8">
        <v>0</v>
      </c>
      <c r="J8">
        <v>36.130578000011162</v>
      </c>
      <c r="M8">
        <f>SUM(Table3[[#This Row],[M1 (%)]:[M3 (%)]])</f>
        <v>63</v>
      </c>
      <c r="P8">
        <v>66</v>
      </c>
      <c r="Q8">
        <f t="shared" si="0"/>
        <v>0</v>
      </c>
    </row>
    <row r="9" spans="1:17" x14ac:dyDescent="0.35">
      <c r="A9">
        <v>14</v>
      </c>
      <c r="B9">
        <v>20</v>
      </c>
      <c r="C9">
        <v>21</v>
      </c>
      <c r="D9">
        <v>22</v>
      </c>
      <c r="E9">
        <v>20.967741935483879</v>
      </c>
      <c r="F9">
        <v>0</v>
      </c>
      <c r="G9">
        <v>0</v>
      </c>
      <c r="H9">
        <v>40.269731100008357</v>
      </c>
      <c r="I9">
        <v>0</v>
      </c>
      <c r="J9">
        <v>40.269731100008357</v>
      </c>
      <c r="M9">
        <f>SUM(Table3[[#This Row],[M1 (%)]:[M3 (%)]])</f>
        <v>63</v>
      </c>
      <c r="P9">
        <v>67</v>
      </c>
      <c r="Q9">
        <f t="shared" si="0"/>
        <v>0</v>
      </c>
    </row>
    <row r="10" spans="1:17" x14ac:dyDescent="0.35">
      <c r="A10">
        <v>24</v>
      </c>
      <c r="B10">
        <v>20</v>
      </c>
      <c r="C10">
        <v>22</v>
      </c>
      <c r="D10">
        <v>21</v>
      </c>
      <c r="E10">
        <v>21.06451612903226</v>
      </c>
      <c r="F10">
        <v>20.535353535353519</v>
      </c>
      <c r="G10">
        <v>20.535353535353519</v>
      </c>
      <c r="H10">
        <v>36.725515500002068</v>
      </c>
      <c r="I10">
        <v>1.787470001727343E-2</v>
      </c>
      <c r="J10">
        <v>36.743390200019348</v>
      </c>
      <c r="M10">
        <f>SUM(Table3[[#This Row],[M1 (%)]:[M3 (%)]])</f>
        <v>63</v>
      </c>
      <c r="P10">
        <v>68</v>
      </c>
      <c r="Q10">
        <f t="shared" si="0"/>
        <v>6.9135802469135683</v>
      </c>
    </row>
    <row r="11" spans="1:17" x14ac:dyDescent="0.35">
      <c r="A11">
        <v>34</v>
      </c>
      <c r="B11">
        <v>20</v>
      </c>
      <c r="C11">
        <v>23</v>
      </c>
      <c r="D11">
        <v>20</v>
      </c>
      <c r="E11">
        <v>21.16129032258063</v>
      </c>
      <c r="F11">
        <v>10.5</v>
      </c>
      <c r="G11">
        <v>10.5</v>
      </c>
      <c r="H11">
        <v>39.812256600009277</v>
      </c>
      <c r="I11">
        <v>2.1017899998696521E-2</v>
      </c>
      <c r="J11">
        <v>39.833274500007967</v>
      </c>
      <c r="M11">
        <f>SUM(Table3[[#This Row],[M1 (%)]:[M3 (%)]])</f>
        <v>63</v>
      </c>
      <c r="P11">
        <v>69</v>
      </c>
      <c r="Q11">
        <f t="shared" si="0"/>
        <v>1.9999999999999929</v>
      </c>
    </row>
    <row r="12" spans="1:17" x14ac:dyDescent="0.35">
      <c r="A12">
        <v>5</v>
      </c>
      <c r="B12">
        <v>20</v>
      </c>
      <c r="C12">
        <v>20</v>
      </c>
      <c r="D12">
        <v>24</v>
      </c>
      <c r="E12">
        <v>21.161290322580651</v>
      </c>
      <c r="F12">
        <v>15.979390681003579</v>
      </c>
      <c r="G12">
        <v>15.979390681003579</v>
      </c>
      <c r="H12">
        <v>37.028988200007007</v>
      </c>
      <c r="I12">
        <v>1.8422600027406592E-2</v>
      </c>
      <c r="J12">
        <v>37.047410800034413</v>
      </c>
      <c r="M12">
        <f>SUM(Table3[[#This Row],[M1 (%)]:[M3 (%)]])</f>
        <v>64</v>
      </c>
      <c r="P12">
        <v>70</v>
      </c>
      <c r="Q12">
        <f t="shared" si="0"/>
        <v>0</v>
      </c>
    </row>
    <row r="13" spans="1:17" x14ac:dyDescent="0.35">
      <c r="A13">
        <v>15</v>
      </c>
      <c r="B13">
        <v>20</v>
      </c>
      <c r="C13">
        <v>21</v>
      </c>
      <c r="D13">
        <v>23</v>
      </c>
      <c r="E13">
        <v>21.258064516129039</v>
      </c>
      <c r="F13">
        <v>34.166666666666643</v>
      </c>
      <c r="G13">
        <v>34.166666666666643</v>
      </c>
      <c r="H13">
        <v>39.888199099979829</v>
      </c>
      <c r="I13">
        <v>1.792150002438575E-2</v>
      </c>
      <c r="J13">
        <v>39.906120600004208</v>
      </c>
      <c r="M13">
        <f>SUM(Table3[[#This Row],[M1 (%)]:[M3 (%)]])</f>
        <v>64</v>
      </c>
      <c r="P13">
        <v>71</v>
      </c>
      <c r="Q13">
        <f t="shared" si="0"/>
        <v>0</v>
      </c>
    </row>
    <row r="14" spans="1:17" x14ac:dyDescent="0.35">
      <c r="A14">
        <v>25</v>
      </c>
      <c r="B14">
        <v>20</v>
      </c>
      <c r="C14">
        <v>22</v>
      </c>
      <c r="D14">
        <v>22</v>
      </c>
      <c r="E14">
        <v>21.354838709677431</v>
      </c>
      <c r="F14">
        <v>17.28233151183969</v>
      </c>
      <c r="G14">
        <v>17.28233151183969</v>
      </c>
      <c r="H14">
        <v>37.031810600019533</v>
      </c>
      <c r="I14">
        <v>1.8259400007082149E-2</v>
      </c>
      <c r="J14">
        <v>37.050070000026608</v>
      </c>
      <c r="M14">
        <f>SUM(Table3[[#This Row],[M1 (%)]:[M3 (%)]])</f>
        <v>64</v>
      </c>
      <c r="P14">
        <v>72</v>
      </c>
      <c r="Q14">
        <f t="shared" si="0"/>
        <v>0</v>
      </c>
    </row>
    <row r="15" spans="1:17" x14ac:dyDescent="0.35">
      <c r="A15">
        <v>35</v>
      </c>
      <c r="B15">
        <v>20</v>
      </c>
      <c r="C15">
        <v>23</v>
      </c>
      <c r="D15">
        <v>21</v>
      </c>
      <c r="E15">
        <v>21.45161290322579</v>
      </c>
      <c r="F15">
        <v>10.00542005420052</v>
      </c>
      <c r="G15">
        <v>10.00542005420052</v>
      </c>
      <c r="H15">
        <v>36.925768599990988</v>
      </c>
      <c r="I15">
        <v>1.8215300020528961E-2</v>
      </c>
      <c r="J15">
        <v>36.943983900011517</v>
      </c>
      <c r="M15">
        <f>SUM(Table3[[#This Row],[M1 (%)]:[M3 (%)]])</f>
        <v>64</v>
      </c>
      <c r="P15">
        <v>73</v>
      </c>
      <c r="Q15">
        <f t="shared" si="0"/>
        <v>0.83464566929134065</v>
      </c>
    </row>
    <row r="16" spans="1:17" x14ac:dyDescent="0.35">
      <c r="A16">
        <v>45</v>
      </c>
      <c r="B16">
        <v>20</v>
      </c>
      <c r="C16">
        <v>24</v>
      </c>
      <c r="D16">
        <v>20</v>
      </c>
      <c r="E16">
        <v>21.548387096774199</v>
      </c>
      <c r="F16">
        <v>8.9946236559139763</v>
      </c>
      <c r="G16">
        <v>8.9946236559139763</v>
      </c>
      <c r="H16">
        <v>41.142759300011683</v>
      </c>
      <c r="I16">
        <v>1.945449999766424E-2</v>
      </c>
      <c r="J16">
        <v>41.16221380000934</v>
      </c>
      <c r="M16">
        <f>SUM(Table3[[#This Row],[M1 (%)]:[M3 (%)]])</f>
        <v>64</v>
      </c>
      <c r="P16">
        <v>74</v>
      </c>
      <c r="Q16">
        <f t="shared" si="0"/>
        <v>1.391076115485568</v>
      </c>
    </row>
    <row r="17" spans="1:17" x14ac:dyDescent="0.35">
      <c r="A17">
        <v>6</v>
      </c>
      <c r="B17">
        <v>20</v>
      </c>
      <c r="C17">
        <v>20</v>
      </c>
      <c r="D17">
        <v>25</v>
      </c>
      <c r="E17">
        <v>21.45161290322579</v>
      </c>
      <c r="F17">
        <v>27.722222222222221</v>
      </c>
      <c r="G17">
        <v>27.722222222222221</v>
      </c>
      <c r="H17">
        <v>37.23347289999947</v>
      </c>
      <c r="I17">
        <v>1.8367499986197799E-2</v>
      </c>
      <c r="J17">
        <v>37.251840399985667</v>
      </c>
      <c r="M17">
        <f>SUM(Table3[[#This Row],[M1 (%)]:[M3 (%)]])</f>
        <v>65</v>
      </c>
      <c r="P17">
        <v>75</v>
      </c>
      <c r="Q17">
        <f t="shared" si="0"/>
        <v>4.3333333333333641</v>
      </c>
    </row>
    <row r="18" spans="1:17" x14ac:dyDescent="0.35">
      <c r="A18">
        <v>16</v>
      </c>
      <c r="B18">
        <v>20</v>
      </c>
      <c r="C18">
        <v>21</v>
      </c>
      <c r="D18">
        <v>24</v>
      </c>
      <c r="E18">
        <v>21.548387096774199</v>
      </c>
      <c r="F18">
        <v>43.193578008827281</v>
      </c>
      <c r="G18">
        <v>43.193578008827281</v>
      </c>
      <c r="H18">
        <v>36.772074500011513</v>
      </c>
      <c r="I18">
        <v>1.8206699984148141E-2</v>
      </c>
      <c r="J18">
        <v>36.790281199995661</v>
      </c>
      <c r="M18">
        <f>SUM(Table3[[#This Row],[M1 (%)]:[M3 (%)]])</f>
        <v>65</v>
      </c>
      <c r="P18">
        <v>76</v>
      </c>
      <c r="Q18">
        <f t="shared" si="0"/>
        <v>1.844961240310155</v>
      </c>
    </row>
    <row r="19" spans="1:17" x14ac:dyDescent="0.35">
      <c r="A19">
        <v>26</v>
      </c>
      <c r="B19">
        <v>20</v>
      </c>
      <c r="C19">
        <v>22</v>
      </c>
      <c r="D19">
        <v>23</v>
      </c>
      <c r="E19">
        <v>21.645161290322591</v>
      </c>
      <c r="F19">
        <v>19.95121951219512</v>
      </c>
      <c r="G19">
        <v>19.95121951219512</v>
      </c>
      <c r="H19">
        <v>37.326066399982658</v>
      </c>
      <c r="I19">
        <v>1.7901400016853589E-2</v>
      </c>
      <c r="J19">
        <v>37.343967799999518</v>
      </c>
      <c r="M19">
        <f>SUM(Table3[[#This Row],[M1 (%)]:[M3 (%)]])</f>
        <v>65</v>
      </c>
      <c r="P19">
        <v>77</v>
      </c>
      <c r="Q19">
        <f t="shared" si="0"/>
        <v>10.5</v>
      </c>
    </row>
    <row r="20" spans="1:17" x14ac:dyDescent="0.35">
      <c r="A20">
        <v>36</v>
      </c>
      <c r="B20">
        <v>20</v>
      </c>
      <c r="C20">
        <v>23</v>
      </c>
      <c r="D20">
        <v>22</v>
      </c>
      <c r="E20">
        <v>21.74193548387095</v>
      </c>
      <c r="F20">
        <v>10.5</v>
      </c>
      <c r="G20">
        <v>10.5</v>
      </c>
      <c r="H20">
        <v>36.648491699976148</v>
      </c>
      <c r="I20">
        <v>1.939620001940057E-2</v>
      </c>
      <c r="J20">
        <v>36.667887899995549</v>
      </c>
      <c r="M20">
        <f>SUM(Table3[[#This Row],[M1 (%)]:[M3 (%)]])</f>
        <v>65</v>
      </c>
    </row>
    <row r="21" spans="1:17" x14ac:dyDescent="0.35">
      <c r="A21">
        <v>46</v>
      </c>
      <c r="B21">
        <v>20</v>
      </c>
      <c r="C21">
        <v>24</v>
      </c>
      <c r="D21">
        <v>21</v>
      </c>
      <c r="E21">
        <v>21.838709677419349</v>
      </c>
      <c r="F21">
        <v>16.558310376492191</v>
      </c>
      <c r="G21">
        <v>16.558310376492191</v>
      </c>
      <c r="H21">
        <v>38.220461099990636</v>
      </c>
      <c r="I21">
        <v>1.8951499980175871E-2</v>
      </c>
      <c r="J21">
        <v>38.239412599970819</v>
      </c>
      <c r="M21">
        <f>SUM(Table3[[#This Row],[M1 (%)]:[M3 (%)]])</f>
        <v>65</v>
      </c>
    </row>
    <row r="22" spans="1:17" x14ac:dyDescent="0.35">
      <c r="A22">
        <v>56</v>
      </c>
      <c r="B22">
        <v>20</v>
      </c>
      <c r="C22">
        <v>25</v>
      </c>
      <c r="D22">
        <v>20</v>
      </c>
      <c r="E22">
        <v>21.93548387096773</v>
      </c>
      <c r="F22">
        <v>23.000000000000011</v>
      </c>
      <c r="G22">
        <v>23.000000000000011</v>
      </c>
      <c r="H22">
        <v>38.911669299995992</v>
      </c>
      <c r="I22">
        <v>1.8055099993944172E-2</v>
      </c>
      <c r="J22">
        <v>38.929724399989937</v>
      </c>
      <c r="M22">
        <f>SUM(Table3[[#This Row],[M1 (%)]:[M3 (%)]])</f>
        <v>65</v>
      </c>
    </row>
    <row r="23" spans="1:17" x14ac:dyDescent="0.35">
      <c r="A23">
        <v>7</v>
      </c>
      <c r="B23">
        <v>20</v>
      </c>
      <c r="C23">
        <v>20</v>
      </c>
      <c r="D23">
        <v>26</v>
      </c>
      <c r="E23">
        <v>21.74193548387095</v>
      </c>
      <c r="F23">
        <v>0</v>
      </c>
      <c r="G23">
        <v>0</v>
      </c>
      <c r="H23">
        <v>36.613118000008399</v>
      </c>
      <c r="I23">
        <v>0</v>
      </c>
      <c r="J23">
        <v>36.613118000008399</v>
      </c>
      <c r="M23">
        <f>SUM(Table3[[#This Row],[M1 (%)]:[M3 (%)]])</f>
        <v>66</v>
      </c>
    </row>
    <row r="24" spans="1:17" x14ac:dyDescent="0.35">
      <c r="A24">
        <v>17</v>
      </c>
      <c r="B24">
        <v>20</v>
      </c>
      <c r="C24">
        <v>21</v>
      </c>
      <c r="D24">
        <v>25</v>
      </c>
      <c r="E24">
        <v>21.838709677419349</v>
      </c>
      <c r="F24">
        <v>49.741046831955941</v>
      </c>
      <c r="G24">
        <v>49.741046831955941</v>
      </c>
      <c r="H24">
        <v>36.741172400012147</v>
      </c>
      <c r="I24">
        <v>1.8382299982476979E-2</v>
      </c>
      <c r="J24">
        <v>36.759554699994617</v>
      </c>
      <c r="M24">
        <f>SUM(Table3[[#This Row],[M1 (%)]:[M3 (%)]])</f>
        <v>66</v>
      </c>
    </row>
    <row r="25" spans="1:17" x14ac:dyDescent="0.35">
      <c r="A25">
        <v>27</v>
      </c>
      <c r="B25">
        <v>20</v>
      </c>
      <c r="C25">
        <v>22</v>
      </c>
      <c r="D25">
        <v>24</v>
      </c>
      <c r="E25">
        <v>21.93548387096773</v>
      </c>
      <c r="F25">
        <v>16.85245901639345</v>
      </c>
      <c r="G25">
        <v>16.85245901639345</v>
      </c>
      <c r="H25">
        <v>38.250823499984108</v>
      </c>
      <c r="I25">
        <v>1.8699500011280179E-2</v>
      </c>
      <c r="J25">
        <v>38.269522999995388</v>
      </c>
      <c r="M25">
        <f>SUM(Table3[[#This Row],[M1 (%)]:[M3 (%)]])</f>
        <v>66</v>
      </c>
    </row>
    <row r="26" spans="1:17" x14ac:dyDescent="0.35">
      <c r="A26">
        <v>37</v>
      </c>
      <c r="B26">
        <v>20</v>
      </c>
      <c r="C26">
        <v>23</v>
      </c>
      <c r="D26">
        <v>23</v>
      </c>
      <c r="E26">
        <v>22.032258064516121</v>
      </c>
      <c r="F26">
        <v>18.49999999999994</v>
      </c>
      <c r="G26">
        <v>10.5</v>
      </c>
      <c r="H26">
        <v>36.636828199989402</v>
      </c>
      <c r="I26">
        <v>3.7371099984738983E-2</v>
      </c>
      <c r="J26">
        <v>36.674199299974127</v>
      </c>
      <c r="M26">
        <f>SUM(Table3[[#This Row],[M1 (%)]:[M3 (%)]])</f>
        <v>66</v>
      </c>
    </row>
    <row r="27" spans="1:17" x14ac:dyDescent="0.35">
      <c r="A27">
        <v>47</v>
      </c>
      <c r="B27">
        <v>20</v>
      </c>
      <c r="C27">
        <v>24</v>
      </c>
      <c r="D27">
        <v>22</v>
      </c>
      <c r="E27">
        <v>22.129032258064509</v>
      </c>
      <c r="F27">
        <v>2.596774193548391</v>
      </c>
      <c r="G27">
        <v>2.596774193548391</v>
      </c>
      <c r="H27">
        <v>36.868937899998848</v>
      </c>
      <c r="I27">
        <v>1.8437899998389181E-2</v>
      </c>
      <c r="J27">
        <v>36.887375799997237</v>
      </c>
      <c r="M27">
        <f>SUM(Table3[[#This Row],[M1 (%)]:[M3 (%)]])</f>
        <v>66</v>
      </c>
    </row>
    <row r="28" spans="1:17" x14ac:dyDescent="0.35">
      <c r="A28">
        <v>57</v>
      </c>
      <c r="B28">
        <v>20</v>
      </c>
      <c r="C28">
        <v>25</v>
      </c>
      <c r="D28">
        <v>21</v>
      </c>
      <c r="E28">
        <v>22.2258064516129</v>
      </c>
      <c r="F28">
        <v>10.697887970615231</v>
      </c>
      <c r="G28">
        <v>10.697887970615231</v>
      </c>
      <c r="H28">
        <v>39.024504200002411</v>
      </c>
      <c r="I28">
        <v>1.7769700003555041E-2</v>
      </c>
      <c r="J28">
        <v>39.042273900005974</v>
      </c>
      <c r="M28">
        <f>SUM(Table3[[#This Row],[M1 (%)]:[M3 (%)]])</f>
        <v>66</v>
      </c>
    </row>
    <row r="29" spans="1:17" x14ac:dyDescent="0.35">
      <c r="A29">
        <v>67</v>
      </c>
      <c r="B29">
        <v>20</v>
      </c>
      <c r="C29">
        <v>26</v>
      </c>
      <c r="D29">
        <v>20</v>
      </c>
      <c r="E29">
        <v>22.32258064516131</v>
      </c>
      <c r="F29">
        <v>43.346560846560841</v>
      </c>
      <c r="G29">
        <v>43.346560846560841</v>
      </c>
      <c r="H29">
        <v>38.069643599999843</v>
      </c>
      <c r="I29">
        <v>1.8919199996162209E-2</v>
      </c>
      <c r="J29">
        <v>38.088562799995998</v>
      </c>
      <c r="M29">
        <f>SUM(Table3[[#This Row],[M1 (%)]:[M3 (%)]])</f>
        <v>66</v>
      </c>
    </row>
    <row r="30" spans="1:17" x14ac:dyDescent="0.35">
      <c r="A30">
        <v>8</v>
      </c>
      <c r="B30">
        <v>20</v>
      </c>
      <c r="C30">
        <v>20</v>
      </c>
      <c r="D30">
        <v>27</v>
      </c>
      <c r="E30">
        <v>22.032258064516121</v>
      </c>
      <c r="F30">
        <v>0</v>
      </c>
      <c r="G30">
        <v>0</v>
      </c>
      <c r="H30">
        <v>37.988279300014263</v>
      </c>
      <c r="I30">
        <v>0</v>
      </c>
      <c r="J30">
        <v>37.988279300014263</v>
      </c>
      <c r="M30">
        <f>SUM(Table3[[#This Row],[M1 (%)]:[M3 (%)]])</f>
        <v>67</v>
      </c>
    </row>
    <row r="31" spans="1:17" x14ac:dyDescent="0.35">
      <c r="A31">
        <v>18</v>
      </c>
      <c r="B31">
        <v>20</v>
      </c>
      <c r="C31">
        <v>21</v>
      </c>
      <c r="D31">
        <v>26</v>
      </c>
      <c r="E31">
        <v>22.129032258064509</v>
      </c>
      <c r="F31">
        <v>17.047619047619051</v>
      </c>
      <c r="G31">
        <v>17.047619047619051</v>
      </c>
      <c r="H31">
        <v>37.003499399987049</v>
      </c>
      <c r="I31">
        <v>1.9740700023248792E-2</v>
      </c>
      <c r="J31">
        <v>37.023240100010298</v>
      </c>
      <c r="M31">
        <f>SUM(Table3[[#This Row],[M1 (%)]:[M3 (%)]])</f>
        <v>67</v>
      </c>
    </row>
    <row r="32" spans="1:17" x14ac:dyDescent="0.35">
      <c r="A32">
        <v>28</v>
      </c>
      <c r="B32">
        <v>20</v>
      </c>
      <c r="C32">
        <v>22</v>
      </c>
      <c r="D32">
        <v>25</v>
      </c>
      <c r="E32">
        <v>22.2258064516129</v>
      </c>
      <c r="F32">
        <v>38.666666666666544</v>
      </c>
      <c r="G32">
        <v>18.80327868852444</v>
      </c>
      <c r="H32">
        <v>39.241218699986348</v>
      </c>
      <c r="I32">
        <v>5.6924000004073598E-2</v>
      </c>
      <c r="J32">
        <v>39.298142699990422</v>
      </c>
      <c r="M32">
        <f>SUM(Table3[[#This Row],[M1 (%)]:[M3 (%)]])</f>
        <v>67</v>
      </c>
    </row>
    <row r="33" spans="1:13" x14ac:dyDescent="0.35">
      <c r="A33">
        <v>38</v>
      </c>
      <c r="B33">
        <v>20</v>
      </c>
      <c r="C33">
        <v>23</v>
      </c>
      <c r="D33">
        <v>24</v>
      </c>
      <c r="E33">
        <v>22.32258064516131</v>
      </c>
      <c r="F33">
        <v>20.216889588250709</v>
      </c>
      <c r="G33">
        <v>16.23481073520411</v>
      </c>
      <c r="H33">
        <v>37.095037999999477</v>
      </c>
      <c r="I33">
        <v>3.6595300014596432E-2</v>
      </c>
      <c r="J33">
        <v>37.131633300014073</v>
      </c>
      <c r="M33">
        <f>SUM(Table3[[#This Row],[M1 (%)]:[M3 (%)]])</f>
        <v>67</v>
      </c>
    </row>
    <row r="34" spans="1:13" x14ac:dyDescent="0.35">
      <c r="A34">
        <v>48</v>
      </c>
      <c r="B34">
        <v>20</v>
      </c>
      <c r="C34">
        <v>24</v>
      </c>
      <c r="D34">
        <v>23</v>
      </c>
      <c r="E34">
        <v>22.41935483870969</v>
      </c>
      <c r="F34">
        <v>2.596774193548391</v>
      </c>
      <c r="G34">
        <v>2.596774193548391</v>
      </c>
      <c r="H34">
        <v>37.486163900000967</v>
      </c>
      <c r="I34">
        <v>1.7980000004172329E-2</v>
      </c>
      <c r="J34">
        <v>37.504143900005147</v>
      </c>
      <c r="M34">
        <f>SUM(Table3[[#This Row],[M1 (%)]:[M3 (%)]])</f>
        <v>67</v>
      </c>
    </row>
    <row r="35" spans="1:13" x14ac:dyDescent="0.35">
      <c r="A35">
        <v>58</v>
      </c>
      <c r="B35">
        <v>20</v>
      </c>
      <c r="C35">
        <v>25</v>
      </c>
      <c r="D35">
        <v>22</v>
      </c>
      <c r="E35">
        <v>22.516129032258078</v>
      </c>
      <c r="F35">
        <v>1.9999999999999929</v>
      </c>
      <c r="G35">
        <v>1.9999999999999929</v>
      </c>
      <c r="H35">
        <v>39.913678799988702</v>
      </c>
      <c r="I35">
        <v>1.9339000020408999E-2</v>
      </c>
      <c r="J35">
        <v>39.933017800009111</v>
      </c>
      <c r="M35">
        <f>SUM(Table3[[#This Row],[M1 (%)]:[M3 (%)]])</f>
        <v>67</v>
      </c>
    </row>
    <row r="36" spans="1:13" x14ac:dyDescent="0.35">
      <c r="A36">
        <v>68</v>
      </c>
      <c r="B36">
        <v>20</v>
      </c>
      <c r="C36">
        <v>26</v>
      </c>
      <c r="D36">
        <v>21</v>
      </c>
      <c r="E36">
        <v>22.61290322580647</v>
      </c>
      <c r="F36">
        <v>18.650793650793641</v>
      </c>
      <c r="G36">
        <v>18.650793650793641</v>
      </c>
      <c r="H36">
        <v>36.527613300015219</v>
      </c>
      <c r="I36">
        <v>1.8632899998920038E-2</v>
      </c>
      <c r="J36">
        <v>36.546246200014139</v>
      </c>
      <c r="M36">
        <f>SUM(Table3[[#This Row],[M1 (%)]:[M3 (%)]])</f>
        <v>67</v>
      </c>
    </row>
    <row r="37" spans="1:13" x14ac:dyDescent="0.35">
      <c r="A37">
        <v>78</v>
      </c>
      <c r="B37">
        <v>20</v>
      </c>
      <c r="C37">
        <v>27</v>
      </c>
      <c r="D37">
        <v>20</v>
      </c>
      <c r="E37">
        <v>22.709677419354829</v>
      </c>
      <c r="F37">
        <v>21.316127150772871</v>
      </c>
      <c r="G37">
        <v>21.316127150772871</v>
      </c>
      <c r="H37">
        <v>36.792528799996937</v>
      </c>
      <c r="I37">
        <v>2.0048900012625381E-2</v>
      </c>
      <c r="J37">
        <v>36.81257770000957</v>
      </c>
      <c r="M37">
        <f>SUM(Table3[[#This Row],[M1 (%)]:[M3 (%)]])</f>
        <v>67</v>
      </c>
    </row>
    <row r="38" spans="1:13" x14ac:dyDescent="0.35">
      <c r="A38">
        <v>9</v>
      </c>
      <c r="B38">
        <v>20</v>
      </c>
      <c r="C38">
        <v>20</v>
      </c>
      <c r="D38">
        <v>28</v>
      </c>
      <c r="E38">
        <v>22.32258064516131</v>
      </c>
      <c r="F38">
        <v>13.555555555555539</v>
      </c>
      <c r="G38">
        <v>13.555555555555539</v>
      </c>
      <c r="H38">
        <v>37.767124500009231</v>
      </c>
      <c r="I38">
        <v>2.0214899996062741E-2</v>
      </c>
      <c r="J38">
        <v>37.787339400005287</v>
      </c>
      <c r="M38">
        <f>SUM(Table3[[#This Row],[M1 (%)]:[M3 (%)]])</f>
        <v>68</v>
      </c>
    </row>
    <row r="39" spans="1:13" x14ac:dyDescent="0.35">
      <c r="A39">
        <v>19</v>
      </c>
      <c r="B39">
        <v>20</v>
      </c>
      <c r="C39">
        <v>21</v>
      </c>
      <c r="D39">
        <v>27</v>
      </c>
      <c r="E39">
        <v>22.41935483870969</v>
      </c>
      <c r="F39">
        <v>13.917037229850401</v>
      </c>
      <c r="G39">
        <v>13.917037229850401</v>
      </c>
      <c r="H39">
        <v>36.914182799984701</v>
      </c>
      <c r="I39">
        <v>1.775900000939146E-2</v>
      </c>
      <c r="J39">
        <v>36.931941799994092</v>
      </c>
      <c r="M39">
        <f>SUM(Table3[[#This Row],[M1 (%)]:[M3 (%)]])</f>
        <v>68</v>
      </c>
    </row>
    <row r="40" spans="1:13" x14ac:dyDescent="0.35">
      <c r="A40">
        <v>29</v>
      </c>
      <c r="B40">
        <v>20</v>
      </c>
      <c r="C40">
        <v>22</v>
      </c>
      <c r="D40">
        <v>26</v>
      </c>
      <c r="E40">
        <v>22.516129032258078</v>
      </c>
      <c r="F40">
        <v>6.9135802469135683</v>
      </c>
      <c r="G40">
        <v>6.9135802469135683</v>
      </c>
      <c r="H40">
        <v>37.119246799993562</v>
      </c>
      <c r="I40">
        <v>1.802129999850877E-2</v>
      </c>
      <c r="J40">
        <v>37.13726809999207</v>
      </c>
      <c r="M40">
        <f>SUM(Table3[[#This Row],[M1 (%)]:[M3 (%)]])</f>
        <v>68</v>
      </c>
    </row>
    <row r="41" spans="1:13" x14ac:dyDescent="0.35">
      <c r="A41">
        <v>39</v>
      </c>
      <c r="B41">
        <v>20</v>
      </c>
      <c r="C41">
        <v>23</v>
      </c>
      <c r="D41">
        <v>25</v>
      </c>
      <c r="E41">
        <v>22.612903225806448</v>
      </c>
      <c r="F41">
        <v>15.886178861788609</v>
      </c>
      <c r="G41">
        <v>15.886178861788609</v>
      </c>
      <c r="H41">
        <v>36.523033300007228</v>
      </c>
      <c r="I41">
        <v>1.8309999984921891E-2</v>
      </c>
      <c r="J41">
        <v>36.54134329999215</v>
      </c>
      <c r="M41">
        <f>SUM(Table3[[#This Row],[M1 (%)]:[M3 (%)]])</f>
        <v>68</v>
      </c>
    </row>
    <row r="42" spans="1:13" x14ac:dyDescent="0.35">
      <c r="A42">
        <v>49</v>
      </c>
      <c r="B42">
        <v>20</v>
      </c>
      <c r="C42">
        <v>24</v>
      </c>
      <c r="D42">
        <v>24</v>
      </c>
      <c r="E42">
        <v>22.709677419354829</v>
      </c>
      <c r="F42">
        <v>8.9946236559139763</v>
      </c>
      <c r="G42">
        <v>8.9946236559139763</v>
      </c>
      <c r="H42">
        <v>37.984674900013488</v>
      </c>
      <c r="I42">
        <v>1.8923199997516349E-2</v>
      </c>
      <c r="J42">
        <v>38.003598100010997</v>
      </c>
      <c r="M42">
        <f>SUM(Table3[[#This Row],[M1 (%)]:[M3 (%)]])</f>
        <v>68</v>
      </c>
    </row>
    <row r="43" spans="1:13" x14ac:dyDescent="0.35">
      <c r="A43">
        <v>59</v>
      </c>
      <c r="B43">
        <v>20</v>
      </c>
      <c r="C43">
        <v>25</v>
      </c>
      <c r="D43">
        <v>23</v>
      </c>
      <c r="E43">
        <v>22.806451612903221</v>
      </c>
      <c r="F43">
        <v>19.95121951219512</v>
      </c>
      <c r="G43">
        <v>19.95121951219512</v>
      </c>
      <c r="H43">
        <v>40.666519899998093</v>
      </c>
      <c r="I43">
        <v>2.5310900004114959E-2</v>
      </c>
      <c r="J43">
        <v>40.691830800002208</v>
      </c>
      <c r="M43">
        <f>SUM(Table3[[#This Row],[M1 (%)]:[M3 (%)]])</f>
        <v>68</v>
      </c>
    </row>
    <row r="44" spans="1:13" x14ac:dyDescent="0.35">
      <c r="A44">
        <v>69</v>
      </c>
      <c r="B44">
        <v>20</v>
      </c>
      <c r="C44">
        <v>26</v>
      </c>
      <c r="D44">
        <v>22</v>
      </c>
      <c r="E44">
        <v>22.903225806451609</v>
      </c>
      <c r="F44">
        <v>26.968253968253961</v>
      </c>
      <c r="G44">
        <v>26.968253968253961</v>
      </c>
      <c r="H44">
        <v>37.007268199988182</v>
      </c>
      <c r="I44">
        <v>1.8024200020590801E-2</v>
      </c>
      <c r="J44">
        <v>37.025292400008773</v>
      </c>
      <c r="M44">
        <f>SUM(Table3[[#This Row],[M1 (%)]:[M3 (%)]])</f>
        <v>68</v>
      </c>
    </row>
    <row r="45" spans="1:13" x14ac:dyDescent="0.35">
      <c r="A45">
        <v>79</v>
      </c>
      <c r="B45">
        <v>20</v>
      </c>
      <c r="C45">
        <v>27</v>
      </c>
      <c r="D45">
        <v>21</v>
      </c>
      <c r="E45">
        <v>23</v>
      </c>
      <c r="F45">
        <v>25.952755905511811</v>
      </c>
      <c r="G45">
        <v>25.952755905511811</v>
      </c>
      <c r="H45">
        <v>36.742850899987388</v>
      </c>
      <c r="I45">
        <v>1.922970000305213E-2</v>
      </c>
      <c r="J45">
        <v>36.762080599990441</v>
      </c>
      <c r="M45">
        <f>SUM(Table3[[#This Row],[M1 (%)]:[M3 (%)]])</f>
        <v>68</v>
      </c>
    </row>
    <row r="46" spans="1:13" x14ac:dyDescent="0.35">
      <c r="A46">
        <v>89</v>
      </c>
      <c r="B46">
        <v>20</v>
      </c>
      <c r="C46">
        <v>28</v>
      </c>
      <c r="D46">
        <v>20</v>
      </c>
      <c r="E46">
        <v>23.096774193548381</v>
      </c>
      <c r="F46">
        <v>7.5000000000000213</v>
      </c>
      <c r="G46">
        <v>7.5000000000000213</v>
      </c>
      <c r="H46">
        <v>36.848309499997413</v>
      </c>
      <c r="I46">
        <v>1.912009998341091E-2</v>
      </c>
      <c r="J46">
        <v>36.867429599980817</v>
      </c>
      <c r="M46">
        <f>SUM(Table3[[#This Row],[M1 (%)]:[M3 (%)]])</f>
        <v>68</v>
      </c>
    </row>
    <row r="47" spans="1:13" x14ac:dyDescent="0.35">
      <c r="A47">
        <v>10</v>
      </c>
      <c r="B47">
        <v>20</v>
      </c>
      <c r="C47">
        <v>20</v>
      </c>
      <c r="D47">
        <v>29</v>
      </c>
      <c r="E47">
        <v>22.612903225806448</v>
      </c>
      <c r="F47">
        <v>13.65202411714041</v>
      </c>
      <c r="G47">
        <v>13.65202411714041</v>
      </c>
      <c r="H47">
        <v>36.790596100006951</v>
      </c>
      <c r="I47">
        <v>1.836349998484366E-2</v>
      </c>
      <c r="J47">
        <v>36.808959599991788</v>
      </c>
      <c r="M47">
        <f>SUM(Table3[[#This Row],[M1 (%)]:[M3 (%)]])</f>
        <v>69</v>
      </c>
    </row>
    <row r="48" spans="1:13" x14ac:dyDescent="0.35">
      <c r="A48">
        <v>20</v>
      </c>
      <c r="B48">
        <v>20</v>
      </c>
      <c r="C48">
        <v>21</v>
      </c>
      <c r="D48">
        <v>28</v>
      </c>
      <c r="E48">
        <v>22.709677419354829</v>
      </c>
      <c r="F48">
        <v>8.333333333333357</v>
      </c>
      <c r="G48">
        <v>8.333333333333357</v>
      </c>
      <c r="H48">
        <v>36.773343899985782</v>
      </c>
      <c r="I48">
        <v>1.804059999994934E-2</v>
      </c>
      <c r="J48">
        <v>36.791384499985718</v>
      </c>
      <c r="M48">
        <f>SUM(Table3[[#This Row],[M1 (%)]:[M3 (%)]])</f>
        <v>69</v>
      </c>
    </row>
    <row r="49" spans="1:13" x14ac:dyDescent="0.35">
      <c r="A49">
        <v>30</v>
      </c>
      <c r="B49">
        <v>20</v>
      </c>
      <c r="C49">
        <v>22</v>
      </c>
      <c r="D49">
        <v>27</v>
      </c>
      <c r="E49">
        <v>22.806451612903221</v>
      </c>
      <c r="F49">
        <v>4.9693788276465511</v>
      </c>
      <c r="G49">
        <v>4.9693788276465511</v>
      </c>
      <c r="H49">
        <v>37.310443700000178</v>
      </c>
      <c r="I49">
        <v>2.026099999784492E-2</v>
      </c>
      <c r="J49">
        <v>37.330704699998023</v>
      </c>
      <c r="M49">
        <f>SUM(Table3[[#This Row],[M1 (%)]:[M3 (%)]])</f>
        <v>69</v>
      </c>
    </row>
    <row r="50" spans="1:13" x14ac:dyDescent="0.35">
      <c r="A50">
        <v>40</v>
      </c>
      <c r="B50">
        <v>20</v>
      </c>
      <c r="C50">
        <v>23</v>
      </c>
      <c r="D50">
        <v>26</v>
      </c>
      <c r="E50">
        <v>22.903225806451591</v>
      </c>
      <c r="F50">
        <v>10.00542005420052</v>
      </c>
      <c r="G50">
        <v>10.00542005420052</v>
      </c>
      <c r="H50">
        <v>36.412725200003479</v>
      </c>
      <c r="I50">
        <v>1.7993299989029769E-2</v>
      </c>
      <c r="J50">
        <v>36.430718499992508</v>
      </c>
      <c r="M50">
        <f>SUM(Table3[[#This Row],[M1 (%)]:[M3 (%)]])</f>
        <v>69</v>
      </c>
    </row>
    <row r="51" spans="1:13" x14ac:dyDescent="0.35">
      <c r="A51">
        <v>50</v>
      </c>
      <c r="B51">
        <v>20</v>
      </c>
      <c r="C51">
        <v>24</v>
      </c>
      <c r="D51">
        <v>25</v>
      </c>
      <c r="E51">
        <v>22.999999999999979</v>
      </c>
      <c r="F51">
        <v>10.5</v>
      </c>
      <c r="G51">
        <v>10.5</v>
      </c>
      <c r="H51">
        <v>36.377305500005598</v>
      </c>
      <c r="I51">
        <v>1.992009999230504E-2</v>
      </c>
      <c r="J51">
        <v>36.39722559999791</v>
      </c>
      <c r="M51">
        <f>SUM(Table3[[#This Row],[M1 (%)]:[M3 (%)]])</f>
        <v>69</v>
      </c>
    </row>
    <row r="52" spans="1:13" x14ac:dyDescent="0.35">
      <c r="A52">
        <v>60</v>
      </c>
      <c r="B52">
        <v>20</v>
      </c>
      <c r="C52">
        <v>25</v>
      </c>
      <c r="D52">
        <v>24</v>
      </c>
      <c r="E52">
        <v>23.096774193548381</v>
      </c>
      <c r="F52">
        <v>1.9999999999999929</v>
      </c>
      <c r="G52">
        <v>1.9999999999999929</v>
      </c>
      <c r="H52">
        <v>38.103499600023497</v>
      </c>
      <c r="I52">
        <v>1.852460001828149E-2</v>
      </c>
      <c r="J52">
        <v>38.122024200041778</v>
      </c>
      <c r="M52">
        <f>SUM(Table3[[#This Row],[M1 (%)]:[M3 (%)]])</f>
        <v>69</v>
      </c>
    </row>
    <row r="53" spans="1:13" x14ac:dyDescent="0.35">
      <c r="A53">
        <v>70</v>
      </c>
      <c r="B53">
        <v>20</v>
      </c>
      <c r="C53">
        <v>26</v>
      </c>
      <c r="D53">
        <v>23</v>
      </c>
      <c r="E53">
        <v>23.193548387096779</v>
      </c>
      <c r="F53">
        <v>15.93586269196024</v>
      </c>
      <c r="G53">
        <v>15.93586269196024</v>
      </c>
      <c r="H53">
        <v>35.579394700005651</v>
      </c>
      <c r="I53">
        <v>1.8117700004950169E-2</v>
      </c>
      <c r="J53">
        <v>35.597512400010601</v>
      </c>
      <c r="M53">
        <f>SUM(Table3[[#This Row],[M1 (%)]:[M3 (%)]])</f>
        <v>69</v>
      </c>
    </row>
    <row r="54" spans="1:13" x14ac:dyDescent="0.35">
      <c r="A54">
        <v>80</v>
      </c>
      <c r="B54">
        <v>20</v>
      </c>
      <c r="C54">
        <v>27</v>
      </c>
      <c r="D54">
        <v>22</v>
      </c>
      <c r="E54">
        <v>23.29032258064516</v>
      </c>
      <c r="F54">
        <v>10.5</v>
      </c>
      <c r="G54">
        <v>10.5</v>
      </c>
      <c r="H54">
        <v>37.387031399994157</v>
      </c>
      <c r="I54">
        <v>1.839459998882376E-2</v>
      </c>
      <c r="J54">
        <v>37.405425999982981</v>
      </c>
      <c r="M54">
        <f>SUM(Table3[[#This Row],[M1 (%)]:[M3 (%)]])</f>
        <v>69</v>
      </c>
    </row>
    <row r="55" spans="1:13" x14ac:dyDescent="0.35">
      <c r="A55">
        <v>90</v>
      </c>
      <c r="B55">
        <v>20</v>
      </c>
      <c r="C55">
        <v>28</v>
      </c>
      <c r="D55">
        <v>21</v>
      </c>
      <c r="E55">
        <v>23.387096774193552</v>
      </c>
      <c r="F55">
        <v>4.5833333333333854</v>
      </c>
      <c r="G55">
        <v>4.5833333333333854</v>
      </c>
      <c r="H55">
        <v>37.567501699988497</v>
      </c>
      <c r="I55">
        <v>1.791609998326749E-2</v>
      </c>
      <c r="J55">
        <v>37.585417799971758</v>
      </c>
      <c r="M55">
        <f>SUM(Table3[[#This Row],[M1 (%)]:[M3 (%)]])</f>
        <v>69</v>
      </c>
    </row>
    <row r="56" spans="1:13" x14ac:dyDescent="0.35">
      <c r="A56">
        <v>11</v>
      </c>
      <c r="B56">
        <v>20</v>
      </c>
      <c r="C56">
        <v>20</v>
      </c>
      <c r="D56">
        <v>30</v>
      </c>
      <c r="E56">
        <v>22.903225806451609</v>
      </c>
      <c r="F56">
        <v>10.5</v>
      </c>
      <c r="G56">
        <v>10.5</v>
      </c>
      <c r="H56">
        <v>36.507565300009453</v>
      </c>
      <c r="I56">
        <v>1.835759999812581E-2</v>
      </c>
      <c r="J56">
        <v>36.525922900007572</v>
      </c>
      <c r="M56">
        <f>SUM(Table3[[#This Row],[M1 (%)]:[M3 (%)]])</f>
        <v>70</v>
      </c>
    </row>
    <row r="57" spans="1:13" x14ac:dyDescent="0.35">
      <c r="A57">
        <v>21</v>
      </c>
      <c r="B57">
        <v>20</v>
      </c>
      <c r="C57">
        <v>21</v>
      </c>
      <c r="D57">
        <v>29</v>
      </c>
      <c r="E57">
        <v>22.999999999999979</v>
      </c>
      <c r="F57">
        <v>10.420412724852451</v>
      </c>
      <c r="G57">
        <v>0</v>
      </c>
      <c r="H57">
        <v>37.738721400004579</v>
      </c>
      <c r="I57">
        <v>9.5842899987474084E-2</v>
      </c>
      <c r="J57">
        <v>37.834564299992053</v>
      </c>
      <c r="M57">
        <f>SUM(Table3[[#This Row],[M1 (%)]:[M3 (%)]])</f>
        <v>70</v>
      </c>
    </row>
    <row r="58" spans="1:13" x14ac:dyDescent="0.35">
      <c r="A58">
        <v>31</v>
      </c>
      <c r="B58">
        <v>20</v>
      </c>
      <c r="C58">
        <v>22</v>
      </c>
      <c r="D58">
        <v>28</v>
      </c>
      <c r="E58">
        <v>23.096774193548381</v>
      </c>
      <c r="F58">
        <v>10.5</v>
      </c>
      <c r="G58">
        <v>10.5</v>
      </c>
      <c r="H58">
        <v>36.267215799976839</v>
      </c>
      <c r="I58">
        <v>1.913840000634082E-2</v>
      </c>
      <c r="J58">
        <v>36.28635419998318</v>
      </c>
      <c r="M58">
        <f>SUM(Table3[[#This Row],[M1 (%)]:[M3 (%)]])</f>
        <v>70</v>
      </c>
    </row>
    <row r="59" spans="1:13" x14ac:dyDescent="0.35">
      <c r="A59">
        <v>41</v>
      </c>
      <c r="B59">
        <v>20</v>
      </c>
      <c r="C59">
        <v>23</v>
      </c>
      <c r="D59">
        <v>27</v>
      </c>
      <c r="E59">
        <v>23.193548387096779</v>
      </c>
      <c r="F59">
        <v>7.5000000000000213</v>
      </c>
      <c r="G59">
        <v>7.5000000000000213</v>
      </c>
      <c r="H59">
        <v>41.10815710001043</v>
      </c>
      <c r="I59">
        <v>2.3238099995069209E-2</v>
      </c>
      <c r="J59">
        <v>41.1313952000055</v>
      </c>
      <c r="M59">
        <f>SUM(Table3[[#This Row],[M1 (%)]:[M3 (%)]])</f>
        <v>70</v>
      </c>
    </row>
    <row r="60" spans="1:13" x14ac:dyDescent="0.35">
      <c r="A60">
        <v>51</v>
      </c>
      <c r="B60">
        <v>20</v>
      </c>
      <c r="C60">
        <v>24</v>
      </c>
      <c r="D60">
        <v>26</v>
      </c>
      <c r="E60">
        <v>23.29032258064516</v>
      </c>
      <c r="F60">
        <v>0</v>
      </c>
      <c r="G60">
        <v>0</v>
      </c>
      <c r="H60">
        <v>36.756846299977042</v>
      </c>
      <c r="I60">
        <v>0</v>
      </c>
      <c r="J60">
        <v>36.756846299977042</v>
      </c>
      <c r="M60">
        <f>SUM(Table3[[#This Row],[M1 (%)]:[M3 (%)]])</f>
        <v>70</v>
      </c>
    </row>
    <row r="61" spans="1:13" x14ac:dyDescent="0.35">
      <c r="A61">
        <v>61</v>
      </c>
      <c r="B61">
        <v>20</v>
      </c>
      <c r="C61">
        <v>25</v>
      </c>
      <c r="D61">
        <v>25</v>
      </c>
      <c r="E61">
        <v>23.387096774193552</v>
      </c>
      <c r="F61">
        <v>8.8888888888888857</v>
      </c>
      <c r="G61">
        <v>8.8888888888888857</v>
      </c>
      <c r="H61">
        <v>37.41684809999424</v>
      </c>
      <c r="I61">
        <v>1.7677900003036481E-2</v>
      </c>
      <c r="J61">
        <v>37.434525999997277</v>
      </c>
      <c r="M61">
        <f>SUM(Table3[[#This Row],[M1 (%)]:[M3 (%)]])</f>
        <v>70</v>
      </c>
    </row>
    <row r="62" spans="1:13" x14ac:dyDescent="0.35">
      <c r="A62">
        <v>71</v>
      </c>
      <c r="B62">
        <v>20</v>
      </c>
      <c r="C62">
        <v>26</v>
      </c>
      <c r="D62">
        <v>24</v>
      </c>
      <c r="E62">
        <v>23.483870967741939</v>
      </c>
      <c r="F62">
        <v>20.499999999999989</v>
      </c>
      <c r="G62">
        <v>18.967741935483861</v>
      </c>
      <c r="H62">
        <v>36.501680199988193</v>
      </c>
      <c r="I62">
        <v>3.5302600008435547E-2</v>
      </c>
      <c r="J62">
        <v>36.536982799996622</v>
      </c>
      <c r="M62">
        <f>SUM(Table3[[#This Row],[M1 (%)]:[M3 (%)]])</f>
        <v>70</v>
      </c>
    </row>
    <row r="63" spans="1:13" x14ac:dyDescent="0.35">
      <c r="A63">
        <v>81</v>
      </c>
      <c r="B63">
        <v>20</v>
      </c>
      <c r="C63">
        <v>27</v>
      </c>
      <c r="D63">
        <v>23</v>
      </c>
      <c r="E63">
        <v>23.580645161290331</v>
      </c>
      <c r="F63">
        <v>7.2244094488189248</v>
      </c>
      <c r="G63">
        <v>1.391076115485568</v>
      </c>
      <c r="H63">
        <v>37.796894899976913</v>
      </c>
      <c r="I63">
        <v>3.6294999998062849E-2</v>
      </c>
      <c r="J63">
        <v>37.833189899974968</v>
      </c>
      <c r="M63">
        <f>SUM(Table3[[#This Row],[M1 (%)]:[M3 (%)]])</f>
        <v>70</v>
      </c>
    </row>
    <row r="64" spans="1:13" x14ac:dyDescent="0.35">
      <c r="A64">
        <v>91</v>
      </c>
      <c r="B64">
        <v>20</v>
      </c>
      <c r="C64">
        <v>28</v>
      </c>
      <c r="D64">
        <v>22</v>
      </c>
      <c r="E64">
        <v>23.677419354838712</v>
      </c>
      <c r="F64">
        <v>7.5000000000000213</v>
      </c>
      <c r="G64">
        <v>7.5000000000000213</v>
      </c>
      <c r="H64">
        <v>38.733013699995347</v>
      </c>
      <c r="I64">
        <v>1.8320400005904961E-2</v>
      </c>
      <c r="J64">
        <v>38.751334100001259</v>
      </c>
      <c r="M64">
        <f>SUM(Table3[[#This Row],[M1 (%)]:[M3 (%)]])</f>
        <v>70</v>
      </c>
    </row>
    <row r="65" spans="1:13" x14ac:dyDescent="0.35">
      <c r="A65">
        <v>22</v>
      </c>
      <c r="B65">
        <v>20</v>
      </c>
      <c r="C65">
        <v>21</v>
      </c>
      <c r="D65">
        <v>30</v>
      </c>
      <c r="E65">
        <v>23.29032258064516</v>
      </c>
      <c r="F65">
        <v>3</v>
      </c>
      <c r="G65">
        <v>3</v>
      </c>
      <c r="H65">
        <v>37.184405400010291</v>
      </c>
      <c r="I65">
        <v>2.5309999997261912E-2</v>
      </c>
      <c r="J65">
        <v>37.209715400007553</v>
      </c>
      <c r="M65">
        <f>SUM(Table3[[#This Row],[M1 (%)]:[M3 (%)]])</f>
        <v>71</v>
      </c>
    </row>
    <row r="66" spans="1:13" x14ac:dyDescent="0.35">
      <c r="A66">
        <v>32</v>
      </c>
      <c r="B66">
        <v>20</v>
      </c>
      <c r="C66">
        <v>22</v>
      </c>
      <c r="D66">
        <v>29</v>
      </c>
      <c r="E66">
        <v>23.387096774193552</v>
      </c>
      <c r="F66">
        <v>39.345391903531421</v>
      </c>
      <c r="G66">
        <v>39.345391903531421</v>
      </c>
      <c r="H66">
        <v>42.649063499993638</v>
      </c>
      <c r="I66">
        <v>1.8328999984078109E-2</v>
      </c>
      <c r="J66">
        <v>42.667392499977723</v>
      </c>
      <c r="M66">
        <f>SUM(Table3[[#This Row],[M1 (%)]:[M3 (%)]])</f>
        <v>71</v>
      </c>
    </row>
    <row r="67" spans="1:13" x14ac:dyDescent="0.35">
      <c r="A67">
        <v>42</v>
      </c>
      <c r="B67">
        <v>20</v>
      </c>
      <c r="C67">
        <v>23</v>
      </c>
      <c r="D67">
        <v>28</v>
      </c>
      <c r="E67">
        <v>23.483870967741939</v>
      </c>
      <c r="F67">
        <v>6.5763888888888724</v>
      </c>
      <c r="G67">
        <v>1.9097222222222141</v>
      </c>
      <c r="H67">
        <v>40.341853799996898</v>
      </c>
      <c r="I67">
        <v>3.5852000000886619E-2</v>
      </c>
      <c r="J67">
        <v>40.377705799997777</v>
      </c>
      <c r="M67">
        <f>SUM(Table3[[#This Row],[M1 (%)]:[M3 (%)]])</f>
        <v>71</v>
      </c>
    </row>
    <row r="68" spans="1:13" x14ac:dyDescent="0.35">
      <c r="A68">
        <v>52</v>
      </c>
      <c r="B68">
        <v>20</v>
      </c>
      <c r="C68">
        <v>24</v>
      </c>
      <c r="D68">
        <v>27</v>
      </c>
      <c r="E68">
        <v>23.580645161290331</v>
      </c>
      <c r="F68">
        <v>10.652174526571301</v>
      </c>
      <c r="G68">
        <v>10.652174526571301</v>
      </c>
      <c r="H68">
        <v>36.825468399998499</v>
      </c>
      <c r="I68">
        <v>1.8223499995656312E-2</v>
      </c>
      <c r="J68">
        <v>36.843691899994162</v>
      </c>
      <c r="M68">
        <f>SUM(Table3[[#This Row],[M1 (%)]:[M3 (%)]])</f>
        <v>71</v>
      </c>
    </row>
    <row r="69" spans="1:13" x14ac:dyDescent="0.35">
      <c r="A69">
        <v>62</v>
      </c>
      <c r="B69">
        <v>20</v>
      </c>
      <c r="C69">
        <v>25</v>
      </c>
      <c r="D69">
        <v>26</v>
      </c>
      <c r="E69">
        <v>23.677419354838712</v>
      </c>
      <c r="F69">
        <v>10.5</v>
      </c>
      <c r="G69">
        <v>10.5</v>
      </c>
      <c r="H69">
        <v>36.784727299993392</v>
      </c>
      <c r="I69">
        <v>1.769390000845306E-2</v>
      </c>
      <c r="J69">
        <v>36.802421200001852</v>
      </c>
      <c r="M69">
        <f>SUM(Table3[[#This Row],[M1 (%)]:[M3 (%)]])</f>
        <v>71</v>
      </c>
    </row>
    <row r="70" spans="1:13" x14ac:dyDescent="0.35">
      <c r="A70">
        <v>72</v>
      </c>
      <c r="B70">
        <v>20</v>
      </c>
      <c r="C70">
        <v>26</v>
      </c>
      <c r="D70">
        <v>25</v>
      </c>
      <c r="E70">
        <v>23.7741935483871</v>
      </c>
      <c r="F70">
        <v>0</v>
      </c>
      <c r="G70">
        <v>0</v>
      </c>
      <c r="H70">
        <v>36.555347699992133</v>
      </c>
      <c r="I70">
        <v>0</v>
      </c>
      <c r="J70">
        <v>36.555347699992133</v>
      </c>
      <c r="M70">
        <f>SUM(Table3[[#This Row],[M1 (%)]:[M3 (%)]])</f>
        <v>71</v>
      </c>
    </row>
    <row r="71" spans="1:13" x14ac:dyDescent="0.35">
      <c r="A71">
        <v>82</v>
      </c>
      <c r="B71">
        <v>20</v>
      </c>
      <c r="C71">
        <v>27</v>
      </c>
      <c r="D71">
        <v>24</v>
      </c>
      <c r="E71">
        <v>23.870967741935509</v>
      </c>
      <c r="F71">
        <v>0.83464566929134065</v>
      </c>
      <c r="G71">
        <v>0.83464566929134065</v>
      </c>
      <c r="H71">
        <v>37.765111099986832</v>
      </c>
      <c r="I71">
        <v>1.791500000399537E-2</v>
      </c>
      <c r="J71">
        <v>37.783026099990821</v>
      </c>
      <c r="M71">
        <f>SUM(Table3[[#This Row],[M1 (%)]:[M3 (%)]])</f>
        <v>71</v>
      </c>
    </row>
    <row r="72" spans="1:13" x14ac:dyDescent="0.35">
      <c r="A72">
        <v>92</v>
      </c>
      <c r="B72">
        <v>20</v>
      </c>
      <c r="C72">
        <v>28</v>
      </c>
      <c r="D72">
        <v>23</v>
      </c>
      <c r="E72">
        <v>23.967741935483879</v>
      </c>
      <c r="F72">
        <v>28.579113030713589</v>
      </c>
      <c r="G72">
        <v>19.95121951219512</v>
      </c>
      <c r="H72">
        <v>37.901025700004539</v>
      </c>
      <c r="I72">
        <v>5.330070000491105E-2</v>
      </c>
      <c r="J72">
        <v>37.95432640000945</v>
      </c>
      <c r="M72">
        <f>SUM(Table3[[#This Row],[M1 (%)]:[M3 (%)]])</f>
        <v>71</v>
      </c>
    </row>
    <row r="73" spans="1:13" x14ac:dyDescent="0.35">
      <c r="A73">
        <v>33</v>
      </c>
      <c r="B73">
        <v>20</v>
      </c>
      <c r="C73">
        <v>22</v>
      </c>
      <c r="D73">
        <v>30</v>
      </c>
      <c r="E73">
        <v>23.677419354838712</v>
      </c>
      <c r="F73">
        <v>10.5</v>
      </c>
      <c r="G73">
        <v>10.5</v>
      </c>
      <c r="H73">
        <v>39.544211600004928</v>
      </c>
      <c r="I73">
        <v>1.981649998924695E-2</v>
      </c>
      <c r="J73">
        <v>39.564028099994182</v>
      </c>
      <c r="M73">
        <f>SUM(Table3[[#This Row],[M1 (%)]:[M3 (%)]])</f>
        <v>72</v>
      </c>
    </row>
    <row r="74" spans="1:13" x14ac:dyDescent="0.35">
      <c r="A74">
        <v>43</v>
      </c>
      <c r="B74">
        <v>20</v>
      </c>
      <c r="C74">
        <v>23</v>
      </c>
      <c r="D74">
        <v>29</v>
      </c>
      <c r="E74">
        <v>23.774193548387078</v>
      </c>
      <c r="F74">
        <v>5.3387533875338633</v>
      </c>
      <c r="G74">
        <v>5.3387533875338633</v>
      </c>
      <c r="H74">
        <v>39.192198499978993</v>
      </c>
      <c r="I74">
        <v>2.0237000018823888E-2</v>
      </c>
      <c r="J74">
        <v>39.21243549999781</v>
      </c>
      <c r="M74">
        <f>SUM(Table3[[#This Row],[M1 (%)]:[M3 (%)]])</f>
        <v>72</v>
      </c>
    </row>
    <row r="75" spans="1:13" x14ac:dyDescent="0.35">
      <c r="A75">
        <v>53</v>
      </c>
      <c r="B75">
        <v>20</v>
      </c>
      <c r="C75">
        <v>24</v>
      </c>
      <c r="D75">
        <v>28</v>
      </c>
      <c r="E75">
        <v>23.870967741935491</v>
      </c>
      <c r="F75">
        <v>12.409722222222211</v>
      </c>
      <c r="G75">
        <v>12.409722222222211</v>
      </c>
      <c r="H75">
        <v>39.123677499999758</v>
      </c>
      <c r="I75">
        <v>1.860399998258799E-2</v>
      </c>
      <c r="J75">
        <v>39.142281499982353</v>
      </c>
      <c r="M75">
        <f>SUM(Table3[[#This Row],[M1 (%)]:[M3 (%)]])</f>
        <v>72</v>
      </c>
    </row>
    <row r="76" spans="1:13" x14ac:dyDescent="0.35">
      <c r="A76">
        <v>63</v>
      </c>
      <c r="B76">
        <v>20</v>
      </c>
      <c r="C76">
        <v>25</v>
      </c>
      <c r="D76">
        <v>27</v>
      </c>
      <c r="E76">
        <v>23.967741935483879</v>
      </c>
      <c r="F76">
        <v>0</v>
      </c>
      <c r="G76">
        <v>0</v>
      </c>
      <c r="H76">
        <v>36.620760699996033</v>
      </c>
      <c r="I76">
        <v>0</v>
      </c>
      <c r="J76">
        <v>36.620760699996033</v>
      </c>
      <c r="M76">
        <f>SUM(Table3[[#This Row],[M1 (%)]:[M3 (%)]])</f>
        <v>72</v>
      </c>
    </row>
    <row r="77" spans="1:13" x14ac:dyDescent="0.35">
      <c r="A77">
        <v>73</v>
      </c>
      <c r="B77">
        <v>20</v>
      </c>
      <c r="C77">
        <v>26</v>
      </c>
      <c r="D77">
        <v>26</v>
      </c>
      <c r="E77">
        <v>24.06451612903226</v>
      </c>
      <c r="F77">
        <v>13.079365079365081</v>
      </c>
      <c r="G77">
        <v>13.079365079365081</v>
      </c>
      <c r="H77">
        <v>36.936860899993917</v>
      </c>
      <c r="I77">
        <v>1.7937500000698488E-2</v>
      </c>
      <c r="J77">
        <v>36.954798399994623</v>
      </c>
      <c r="M77">
        <f>SUM(Table3[[#This Row],[M1 (%)]:[M3 (%)]])</f>
        <v>72</v>
      </c>
    </row>
    <row r="78" spans="1:13" x14ac:dyDescent="0.35">
      <c r="A78">
        <v>83</v>
      </c>
      <c r="B78">
        <v>20</v>
      </c>
      <c r="C78">
        <v>27</v>
      </c>
      <c r="D78">
        <v>25</v>
      </c>
      <c r="E78">
        <v>24.161290322580651</v>
      </c>
      <c r="F78">
        <v>24.687664041994712</v>
      </c>
      <c r="G78">
        <v>19.66666666666671</v>
      </c>
      <c r="H78">
        <v>37.303986799990533</v>
      </c>
      <c r="I78">
        <v>5.5629999988013878E-2</v>
      </c>
      <c r="J78">
        <v>37.359616799978539</v>
      </c>
      <c r="M78">
        <f>SUM(Table3[[#This Row],[M1 (%)]:[M3 (%)]])</f>
        <v>72</v>
      </c>
    </row>
    <row r="79" spans="1:13" x14ac:dyDescent="0.35">
      <c r="A79">
        <v>93</v>
      </c>
      <c r="B79">
        <v>20</v>
      </c>
      <c r="C79">
        <v>28</v>
      </c>
      <c r="D79">
        <v>24</v>
      </c>
      <c r="E79">
        <v>24.258064516129021</v>
      </c>
      <c r="F79">
        <v>0</v>
      </c>
      <c r="G79">
        <v>0</v>
      </c>
      <c r="H79">
        <v>37.732695599988801</v>
      </c>
      <c r="I79">
        <v>0</v>
      </c>
      <c r="J79">
        <v>37.732695599988801</v>
      </c>
      <c r="M79">
        <f>SUM(Table3[[#This Row],[M1 (%)]:[M3 (%)]])</f>
        <v>72</v>
      </c>
    </row>
    <row r="80" spans="1:13" x14ac:dyDescent="0.35">
      <c r="A80">
        <v>44</v>
      </c>
      <c r="B80">
        <v>20</v>
      </c>
      <c r="C80">
        <v>23</v>
      </c>
      <c r="D80">
        <v>30</v>
      </c>
      <c r="E80">
        <v>24.06451612903226</v>
      </c>
      <c r="F80">
        <v>3.2032520325203389</v>
      </c>
      <c r="G80">
        <v>3.2032520325203389</v>
      </c>
      <c r="H80">
        <v>40.744632799993269</v>
      </c>
      <c r="I80">
        <v>2.00337000133004E-2</v>
      </c>
      <c r="J80">
        <v>40.76466650000657</v>
      </c>
      <c r="M80">
        <f>SUM(Table3[[#This Row],[M1 (%)]:[M3 (%)]])</f>
        <v>73</v>
      </c>
    </row>
    <row r="81" spans="1:13" x14ac:dyDescent="0.35">
      <c r="A81">
        <v>54</v>
      </c>
      <c r="B81">
        <v>20</v>
      </c>
      <c r="C81">
        <v>24</v>
      </c>
      <c r="D81">
        <v>29</v>
      </c>
      <c r="E81">
        <v>24.16129032258063</v>
      </c>
      <c r="F81">
        <v>25.171403962101639</v>
      </c>
      <c r="G81">
        <v>25.171403962101639</v>
      </c>
      <c r="H81">
        <v>38.623738399997819</v>
      </c>
      <c r="I81">
        <v>1.8474499986041341E-2</v>
      </c>
      <c r="J81">
        <v>38.642212899983861</v>
      </c>
      <c r="M81">
        <f>SUM(Table3[[#This Row],[M1 (%)]:[M3 (%)]])</f>
        <v>73</v>
      </c>
    </row>
    <row r="82" spans="1:13" x14ac:dyDescent="0.35">
      <c r="A82">
        <v>64</v>
      </c>
      <c r="B82">
        <v>20</v>
      </c>
      <c r="C82">
        <v>25</v>
      </c>
      <c r="D82">
        <v>28</v>
      </c>
      <c r="E82">
        <v>24.258064516129021</v>
      </c>
      <c r="F82">
        <v>3.0555555555555429</v>
      </c>
      <c r="G82">
        <v>3.0555555555555429</v>
      </c>
      <c r="H82">
        <v>36.901245199987898</v>
      </c>
      <c r="I82">
        <v>1.7997099988861009E-2</v>
      </c>
      <c r="J82">
        <v>36.919242299976759</v>
      </c>
      <c r="M82">
        <f>SUM(Table3[[#This Row],[M1 (%)]:[M3 (%)]])</f>
        <v>73</v>
      </c>
    </row>
    <row r="83" spans="1:13" x14ac:dyDescent="0.35">
      <c r="A83">
        <v>74</v>
      </c>
      <c r="B83">
        <v>20</v>
      </c>
      <c r="C83">
        <v>26</v>
      </c>
      <c r="D83">
        <v>27</v>
      </c>
      <c r="E83">
        <v>24.354838709677409</v>
      </c>
      <c r="F83">
        <v>1.4126984126984039</v>
      </c>
      <c r="G83">
        <v>1.4126984126984039</v>
      </c>
      <c r="H83">
        <v>37.07034079998266</v>
      </c>
      <c r="I83">
        <v>1.8235399998957291E-2</v>
      </c>
      <c r="J83">
        <v>37.088576199981617</v>
      </c>
      <c r="M83">
        <f>SUM(Table3[[#This Row],[M1 (%)]:[M3 (%)]])</f>
        <v>73</v>
      </c>
    </row>
    <row r="84" spans="1:13" x14ac:dyDescent="0.35">
      <c r="A84">
        <v>84</v>
      </c>
      <c r="B84">
        <v>20</v>
      </c>
      <c r="C84">
        <v>27</v>
      </c>
      <c r="D84">
        <v>26</v>
      </c>
      <c r="E84">
        <v>24.45161290322579</v>
      </c>
      <c r="F84">
        <v>0.83464566929134065</v>
      </c>
      <c r="G84">
        <v>0.83464566929134065</v>
      </c>
      <c r="H84">
        <v>37.266230900015223</v>
      </c>
      <c r="I84">
        <v>2.0235000003594909E-2</v>
      </c>
      <c r="J84">
        <v>37.286465900018811</v>
      </c>
      <c r="M84">
        <f>SUM(Table3[[#This Row],[M1 (%)]:[M3 (%)]])</f>
        <v>73</v>
      </c>
    </row>
    <row r="85" spans="1:13" x14ac:dyDescent="0.35">
      <c r="A85">
        <v>94</v>
      </c>
      <c r="B85">
        <v>20</v>
      </c>
      <c r="C85">
        <v>28</v>
      </c>
      <c r="D85">
        <v>25</v>
      </c>
      <c r="E85">
        <v>24.548387096774182</v>
      </c>
      <c r="F85">
        <v>24.953125000000011</v>
      </c>
      <c r="G85">
        <v>24.953125000000011</v>
      </c>
      <c r="H85">
        <v>38.622082100017003</v>
      </c>
      <c r="I85">
        <v>1.8660700006876141E-2</v>
      </c>
      <c r="J85">
        <v>38.640742800023872</v>
      </c>
      <c r="M85">
        <f>SUM(Table3[[#This Row],[M1 (%)]:[M3 (%)]])</f>
        <v>73</v>
      </c>
    </row>
    <row r="86" spans="1:13" x14ac:dyDescent="0.35">
      <c r="A86">
        <v>55</v>
      </c>
      <c r="B86">
        <v>20</v>
      </c>
      <c r="C86">
        <v>24</v>
      </c>
      <c r="D86">
        <v>30</v>
      </c>
      <c r="E86">
        <v>24.45161290322579</v>
      </c>
      <c r="F86">
        <v>10.5</v>
      </c>
      <c r="G86">
        <v>10.5</v>
      </c>
      <c r="H86">
        <v>41.017957200005178</v>
      </c>
      <c r="I86">
        <v>1.922129999729805E-2</v>
      </c>
      <c r="J86">
        <v>41.037178500002483</v>
      </c>
      <c r="M86">
        <f>SUM(Table3[[#This Row],[M1 (%)]:[M3 (%)]])</f>
        <v>74</v>
      </c>
    </row>
    <row r="87" spans="1:13" x14ac:dyDescent="0.35">
      <c r="A87">
        <v>65</v>
      </c>
      <c r="B87">
        <v>20</v>
      </c>
      <c r="C87">
        <v>25</v>
      </c>
      <c r="D87">
        <v>29</v>
      </c>
      <c r="E87">
        <v>24.548387096774182</v>
      </c>
      <c r="F87">
        <v>1.9999999999999929</v>
      </c>
      <c r="G87">
        <v>1.9999999999999929</v>
      </c>
      <c r="H87">
        <v>38.542454500013257</v>
      </c>
      <c r="I87">
        <v>1.9469899998512119E-2</v>
      </c>
      <c r="J87">
        <v>38.561924400011783</v>
      </c>
      <c r="M87">
        <f>SUM(Table3[[#This Row],[M1 (%)]:[M3 (%)]])</f>
        <v>74</v>
      </c>
    </row>
    <row r="88" spans="1:13" x14ac:dyDescent="0.35">
      <c r="A88">
        <v>75</v>
      </c>
      <c r="B88">
        <v>20</v>
      </c>
      <c r="C88">
        <v>26</v>
      </c>
      <c r="D88">
        <v>28</v>
      </c>
      <c r="E88">
        <v>24.645161290322591</v>
      </c>
      <c r="F88">
        <v>2.3544973544973402</v>
      </c>
      <c r="G88">
        <v>2.3544973544973402</v>
      </c>
      <c r="H88">
        <v>37.22503939998569</v>
      </c>
      <c r="I88">
        <v>2.4502599990228191E-2</v>
      </c>
      <c r="J88">
        <v>37.249541999975918</v>
      </c>
      <c r="M88">
        <f>SUM(Table3[[#This Row],[M1 (%)]:[M3 (%)]])</f>
        <v>74</v>
      </c>
    </row>
    <row r="89" spans="1:13" x14ac:dyDescent="0.35">
      <c r="A89">
        <v>85</v>
      </c>
      <c r="B89">
        <v>20</v>
      </c>
      <c r="C89">
        <v>27</v>
      </c>
      <c r="D89">
        <v>27</v>
      </c>
      <c r="E89">
        <v>24.741935483870979</v>
      </c>
      <c r="F89">
        <v>1.391076115485568</v>
      </c>
      <c r="G89">
        <v>1.391076115485568</v>
      </c>
      <c r="H89">
        <v>37.160739900020417</v>
      </c>
      <c r="I89">
        <v>2.0038499991642311E-2</v>
      </c>
      <c r="J89">
        <v>37.180778400012059</v>
      </c>
      <c r="M89">
        <f>SUM(Table3[[#This Row],[M1 (%)]:[M3 (%)]])</f>
        <v>74</v>
      </c>
    </row>
    <row r="90" spans="1:13" x14ac:dyDescent="0.35">
      <c r="A90">
        <v>66</v>
      </c>
      <c r="B90">
        <v>20</v>
      </c>
      <c r="C90">
        <v>25</v>
      </c>
      <c r="D90">
        <v>30</v>
      </c>
      <c r="E90">
        <v>24.83870967741937</v>
      </c>
      <c r="F90">
        <v>4.3333333333333641</v>
      </c>
      <c r="G90">
        <v>4.3333333333333641</v>
      </c>
      <c r="H90">
        <v>36.954623099998571</v>
      </c>
      <c r="I90">
        <v>1.819109998177737E-2</v>
      </c>
      <c r="J90">
        <v>36.972814199980348</v>
      </c>
      <c r="M90">
        <f>SUM(Table3[[#This Row],[M1 (%)]:[M3 (%)]])</f>
        <v>75</v>
      </c>
    </row>
    <row r="91" spans="1:13" x14ac:dyDescent="0.35">
      <c r="A91">
        <v>76</v>
      </c>
      <c r="B91">
        <v>20</v>
      </c>
      <c r="C91">
        <v>26</v>
      </c>
      <c r="D91">
        <v>29</v>
      </c>
      <c r="E91">
        <v>24.935483870967762</v>
      </c>
      <c r="F91">
        <v>10.5</v>
      </c>
      <c r="G91">
        <v>10.5</v>
      </c>
      <c r="H91">
        <v>37.151275799988071</v>
      </c>
      <c r="I91">
        <v>1.8463599990354851E-2</v>
      </c>
      <c r="J91">
        <v>37.169739399978432</v>
      </c>
      <c r="M91">
        <f>SUM(Table3[[#This Row],[M1 (%)]:[M3 (%)]])</f>
        <v>75</v>
      </c>
    </row>
    <row r="92" spans="1:13" x14ac:dyDescent="0.35">
      <c r="A92">
        <v>86</v>
      </c>
      <c r="B92">
        <v>20</v>
      </c>
      <c r="C92">
        <v>27</v>
      </c>
      <c r="D92">
        <v>28</v>
      </c>
      <c r="E92">
        <v>25.032258064516139</v>
      </c>
      <c r="F92">
        <v>15.090277777777709</v>
      </c>
      <c r="G92">
        <v>10.5</v>
      </c>
      <c r="H92">
        <v>37.113433399994392</v>
      </c>
      <c r="I92">
        <v>5.9791999985463917E-2</v>
      </c>
      <c r="J92">
        <v>37.173225399979863</v>
      </c>
      <c r="M92">
        <f>SUM(Table3[[#This Row],[M1 (%)]:[M3 (%)]])</f>
        <v>75</v>
      </c>
    </row>
    <row r="93" spans="1:13" x14ac:dyDescent="0.35">
      <c r="A93">
        <v>77</v>
      </c>
      <c r="B93">
        <v>20</v>
      </c>
      <c r="C93">
        <v>26</v>
      </c>
      <c r="D93">
        <v>30</v>
      </c>
      <c r="E93">
        <v>25.2258064516129</v>
      </c>
      <c r="F93">
        <v>13.079365079365081</v>
      </c>
      <c r="G93">
        <v>13.079365079365081</v>
      </c>
      <c r="H93">
        <v>37.466220300004352</v>
      </c>
      <c r="I93">
        <v>1.8831399996997789E-2</v>
      </c>
      <c r="J93">
        <v>37.48505170000135</v>
      </c>
      <c r="M93">
        <f>SUM(Table3[[#This Row],[M1 (%)]:[M3 (%)]])</f>
        <v>76</v>
      </c>
    </row>
    <row r="94" spans="1:13" x14ac:dyDescent="0.35">
      <c r="A94">
        <v>87</v>
      </c>
      <c r="B94">
        <v>20</v>
      </c>
      <c r="C94">
        <v>27</v>
      </c>
      <c r="D94">
        <v>29</v>
      </c>
      <c r="E94">
        <v>25.322580645161281</v>
      </c>
      <c r="F94">
        <v>6.5116279069768126</v>
      </c>
      <c r="G94">
        <v>1.844961240310155</v>
      </c>
      <c r="H94">
        <v>35.836874500004342</v>
      </c>
      <c r="I94">
        <v>3.6753799999132752E-2</v>
      </c>
      <c r="J94">
        <v>35.873628300003467</v>
      </c>
      <c r="M94">
        <f>SUM(Table3[[#This Row],[M1 (%)]:[M3 (%)]])</f>
        <v>76</v>
      </c>
    </row>
    <row r="95" spans="1:13" x14ac:dyDescent="0.35">
      <c r="A95">
        <v>88</v>
      </c>
      <c r="B95">
        <v>20</v>
      </c>
      <c r="C95">
        <v>27</v>
      </c>
      <c r="D95">
        <v>30</v>
      </c>
      <c r="E95">
        <v>25.61290322580647</v>
      </c>
      <c r="F95">
        <v>10.5</v>
      </c>
      <c r="G95">
        <v>10.5</v>
      </c>
      <c r="H95">
        <v>36.026276899996454</v>
      </c>
      <c r="I95">
        <v>1.8933200015453618E-2</v>
      </c>
      <c r="J95">
        <v>36.0452101000119</v>
      </c>
      <c r="M95">
        <f>SUM(Table3[[#This Row],[M1 (%)]:[M3 (%)]])</f>
        <v>77</v>
      </c>
    </row>
  </sheetData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Alle combinaties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Matthijs van Meeuwen</cp:lastModifiedBy>
  <dcterms:created xsi:type="dcterms:W3CDTF">2026-10-27T15:02:23Z</dcterms:created>
  <dcterms:modified xsi:type="dcterms:W3CDTF">2026-10-30T20:12:30Z</dcterms:modified>
</cp:coreProperties>
</file>