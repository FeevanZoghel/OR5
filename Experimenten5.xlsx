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26" documentId="11_4419C470179018682943C3F0505ED87656CDA62E" xr6:coauthVersionLast="47" xr6:coauthVersionMax="47" xr10:uidLastSave="{5E4EB37B-4427-4221-8430-819D4794677D}"/>
  <bookViews>
    <workbookView xWindow="-120" yWindow="-120" windowWidth="29040" windowHeight="15720" xr2:uid="{00000000-000D-0000-FFFF-FFFF00000000}"/>
  </bookViews>
  <sheets>
    <sheet name="Random see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L2" i="1"/>
</calcChain>
</file>

<file path=xl/sharedStrings.xml><?xml version="1.0" encoding="utf-8"?>
<sst xmlns="http://schemas.openxmlformats.org/spreadsheetml/2006/main" count="13" uniqueCount="13">
  <si>
    <t>t_max</t>
  </si>
  <si>
    <t>cooling_factor</t>
  </si>
  <si>
    <t>cooling_it</t>
  </si>
  <si>
    <t>temp</t>
  </si>
  <si>
    <t>Random seed</t>
  </si>
  <si>
    <t>Penalty SA</t>
  </si>
  <si>
    <t>Total penalty</t>
  </si>
  <si>
    <t>Total tardiness</t>
  </si>
  <si>
    <t>Rekentijd SA (s)</t>
  </si>
  <si>
    <t>Rekentijd Improving Search (s)</t>
  </si>
  <si>
    <t>Totale rekentijd (s)</t>
  </si>
  <si>
    <t>Gemiddelde penalty</t>
  </si>
  <si>
    <t>Afstand tot gemiddelde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</si>
</sst>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Invloed van de random seed op de</a:t>
            </a:r>
            <a:r>
              <a:rPr lang="nl-NL" baseline="0"/>
              <a:t> totale penalty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Totale penalty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'Random seeds'!$E$2:$E$51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88</c:v>
                </c:pt>
              </c:numCache>
            </c:numRef>
          </c:xVal>
          <c:yVal>
            <c:numRef>
              <c:f>'Random seeds'!$G$2:$G$51</c:f>
              <c:numCache>
                <c:formatCode>General</c:formatCode>
                <c:ptCount val="50"/>
                <c:pt idx="0">
                  <c:v>156.0555555555556</c:v>
                </c:pt>
                <c:pt idx="1">
                  <c:v>370.58333333333343</c:v>
                </c:pt>
                <c:pt idx="2">
                  <c:v>460.08333333333331</c:v>
                </c:pt>
                <c:pt idx="3">
                  <c:v>371.61111111111109</c:v>
                </c:pt>
                <c:pt idx="4">
                  <c:v>267.25</c:v>
                </c:pt>
                <c:pt idx="5">
                  <c:v>294.52777777777783</c:v>
                </c:pt>
                <c:pt idx="6">
                  <c:v>445.41666666666657</c:v>
                </c:pt>
                <c:pt idx="7">
                  <c:v>520.7222222222224</c:v>
                </c:pt>
                <c:pt idx="8">
                  <c:v>288.05555555555537</c:v>
                </c:pt>
                <c:pt idx="9">
                  <c:v>519.27777777777783</c:v>
                </c:pt>
                <c:pt idx="10">
                  <c:v>329.5833333333332</c:v>
                </c:pt>
                <c:pt idx="11">
                  <c:v>420.27777777777771</c:v>
                </c:pt>
                <c:pt idx="12">
                  <c:v>206.33333333333329</c:v>
                </c:pt>
                <c:pt idx="13">
                  <c:v>252.1666666666668</c:v>
                </c:pt>
                <c:pt idx="14">
                  <c:v>282.80555555555549</c:v>
                </c:pt>
                <c:pt idx="15">
                  <c:v>292.8888888888888</c:v>
                </c:pt>
                <c:pt idx="16">
                  <c:v>389.77777777777811</c:v>
                </c:pt>
                <c:pt idx="17">
                  <c:v>253.25</c:v>
                </c:pt>
                <c:pt idx="18">
                  <c:v>298.49999999999989</c:v>
                </c:pt>
                <c:pt idx="19">
                  <c:v>379.49999999999989</c:v>
                </c:pt>
                <c:pt idx="20">
                  <c:v>560.58333333333337</c:v>
                </c:pt>
                <c:pt idx="21">
                  <c:v>316.55555555555571</c:v>
                </c:pt>
                <c:pt idx="22">
                  <c:v>419.6111111111112</c:v>
                </c:pt>
                <c:pt idx="23">
                  <c:v>282.33333333333343</c:v>
                </c:pt>
                <c:pt idx="24">
                  <c:v>353.99999999999989</c:v>
                </c:pt>
                <c:pt idx="25">
                  <c:v>288.38888888888891</c:v>
                </c:pt>
                <c:pt idx="26">
                  <c:v>294.50000000000011</c:v>
                </c:pt>
                <c:pt idx="27">
                  <c:v>394.88888888888869</c:v>
                </c:pt>
                <c:pt idx="28">
                  <c:v>458.91666666666652</c:v>
                </c:pt>
                <c:pt idx="29">
                  <c:v>393</c:v>
                </c:pt>
                <c:pt idx="30">
                  <c:v>426.44444444444451</c:v>
                </c:pt>
                <c:pt idx="31">
                  <c:v>144</c:v>
                </c:pt>
                <c:pt idx="32">
                  <c:v>359.97222222222229</c:v>
                </c:pt>
                <c:pt idx="33">
                  <c:v>471.50000000000011</c:v>
                </c:pt>
                <c:pt idx="34">
                  <c:v>504.24999999999977</c:v>
                </c:pt>
                <c:pt idx="35">
                  <c:v>305.94444444444417</c:v>
                </c:pt>
                <c:pt idx="36">
                  <c:v>273.83333333333331</c:v>
                </c:pt>
                <c:pt idx="37">
                  <c:v>501.94444444444468</c:v>
                </c:pt>
                <c:pt idx="38">
                  <c:v>267.94444444444429</c:v>
                </c:pt>
                <c:pt idx="39">
                  <c:v>398.58333333333331</c:v>
                </c:pt>
                <c:pt idx="40">
                  <c:v>337.00000000000011</c:v>
                </c:pt>
                <c:pt idx="41">
                  <c:v>267.25</c:v>
                </c:pt>
                <c:pt idx="42">
                  <c:v>460.13888888888903</c:v>
                </c:pt>
                <c:pt idx="43">
                  <c:v>388.02777777777749</c:v>
                </c:pt>
                <c:pt idx="44">
                  <c:v>389.72222222222229</c:v>
                </c:pt>
                <c:pt idx="45">
                  <c:v>169.6666666666666</c:v>
                </c:pt>
                <c:pt idx="46">
                  <c:v>360.86111111111092</c:v>
                </c:pt>
                <c:pt idx="47">
                  <c:v>213.6111111111112</c:v>
                </c:pt>
                <c:pt idx="48">
                  <c:v>249.44444444444451</c:v>
                </c:pt>
                <c:pt idx="49">
                  <c:v>433.83333333333343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FCC-8A9D-4CE30B2AB55F}"/>
            </c:ext>
          </c:extLst>
        </c:ser>
        <c:ser>
          <c:idx val="1"/>
          <c:order val="1"/>
          <c:tx>
            <c:v>Gemiddelde penalty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seeds'!$E$2:$E$51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88</c:v>
                </c:pt>
              </c:numCache>
            </c:numRef>
          </c:xVal>
          <c:yVal>
            <c:numRef>
              <c:f>'Random seeds'!$N$47</c:f>
              <c:numCache>
                <c:formatCode>General</c:formatCode>
                <c:ptCount val="1"/>
                <c:pt idx="0">
                  <c:v>349.70833333333326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F-4FCC-8A9D-4CE30B2AB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300847"/>
        <c:axId val="713260047"/>
      </c:scatterChart>
      <c:valAx>
        <c:axId val="141030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Random</a:t>
                </a:r>
                <a:r>
                  <a:rPr lang="nl-NL" sz="1200" baseline="0"/>
                  <a:t> seed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13260047"/>
        <c:crosses val="autoZero"/>
        <c:crossBetween val="midCat"/>
      </c:valAx>
      <c:valAx>
        <c:axId val="71326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Totale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1030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1</xdr:row>
      <xdr:rowOff>95250</xdr:rowOff>
    </xdr:from>
    <xdr:to>
      <xdr:col>29</xdr:col>
      <xdr:colOff>95250</xdr:colOff>
      <xdr:row>33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A03034-913D-0933-D1B8-F58A44C7A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K1" workbookViewId="0">
      <selection activeCell="AD2" sqref="AD2"/>
    </sheetView>
  </sheetViews>
  <sheetFormatPr defaultRowHeight="15" x14ac:dyDescent="0.25"/>
  <cols>
    <col min="1" max="1" width="6.425781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3.140625" bestFit="1" customWidth="1"/>
    <col min="6" max="6" width="12" bestFit="1" customWidth="1"/>
    <col min="7" max="7" width="12.5703125" bestFit="1" customWidth="1"/>
    <col min="8" max="8" width="14.140625" bestFit="1" customWidth="1"/>
    <col min="9" max="9" width="15.140625" bestFit="1" customWidth="1"/>
    <col min="10" max="10" width="28.5703125" bestFit="1" customWidth="1"/>
    <col min="11" max="11" width="18.140625" bestFit="1" customWidth="1"/>
    <col min="12" max="12" width="19.42578125" bestFit="1" customWidth="1"/>
    <col min="13" max="13" width="2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>
        <v>70000</v>
      </c>
      <c r="B2">
        <v>0.95499999999999996</v>
      </c>
      <c r="C2">
        <v>700</v>
      </c>
      <c r="D2">
        <v>200</v>
      </c>
      <c r="E2">
        <v>1</v>
      </c>
      <c r="F2">
        <v>156.0555555555556</v>
      </c>
      <c r="G2">
        <v>156.0555555555556</v>
      </c>
      <c r="H2">
        <v>17.972222222222229</v>
      </c>
      <c r="I2">
        <v>4.2945706000027712</v>
      </c>
      <c r="J2">
        <v>3.4835400001611561E-2</v>
      </c>
      <c r="K2">
        <v>4.3294060000043828</v>
      </c>
      <c r="L2">
        <f>AVERAGE($G$2:$G$51)</f>
        <v>349.70833333333326</v>
      </c>
      <c r="M2">
        <f>ABS(G2-$L$2)</f>
        <v>193.65277777777766</v>
      </c>
      <c r="N2">
        <f>$L$2</f>
        <v>349.70833333333326</v>
      </c>
    </row>
    <row r="3" spans="1:14" x14ac:dyDescent="0.25">
      <c r="A3">
        <v>70000</v>
      </c>
      <c r="B3">
        <v>0.95499999999999996</v>
      </c>
      <c r="C3">
        <v>700</v>
      </c>
      <c r="D3">
        <v>200</v>
      </c>
      <c r="E3">
        <v>2</v>
      </c>
      <c r="F3">
        <v>370.58333333333343</v>
      </c>
      <c r="G3">
        <v>370.58333333333343</v>
      </c>
      <c r="H3">
        <v>55.138888888888893</v>
      </c>
      <c r="I3">
        <v>4.6066441000002669</v>
      </c>
      <c r="J3">
        <v>2.6499399988097139E-2</v>
      </c>
      <c r="K3">
        <v>4.6331434999883641</v>
      </c>
      <c r="M3">
        <f t="shared" ref="M3:M51" si="0">ABS(G3-$L$2)</f>
        <v>20.875000000000171</v>
      </c>
      <c r="N3">
        <f t="shared" ref="N3:N51" si="1">$L$2</f>
        <v>349.70833333333326</v>
      </c>
    </row>
    <row r="4" spans="1:14" x14ac:dyDescent="0.25">
      <c r="A4">
        <v>70000</v>
      </c>
      <c r="B4">
        <v>0.95499999999999996</v>
      </c>
      <c r="C4">
        <v>700</v>
      </c>
      <c r="D4">
        <v>200</v>
      </c>
      <c r="E4">
        <v>3</v>
      </c>
      <c r="F4">
        <v>483.33333333333331</v>
      </c>
      <c r="G4">
        <v>460.08333333333331</v>
      </c>
      <c r="H4">
        <v>67.249999999999986</v>
      </c>
      <c r="I4">
        <v>4.5204039999953238</v>
      </c>
      <c r="J4">
        <v>4.8616200001561083E-2</v>
      </c>
      <c r="K4">
        <v>4.5690201999968849</v>
      </c>
      <c r="M4">
        <f t="shared" si="0"/>
        <v>110.37500000000006</v>
      </c>
      <c r="N4">
        <f t="shared" si="1"/>
        <v>349.70833333333326</v>
      </c>
    </row>
    <row r="5" spans="1:14" x14ac:dyDescent="0.25">
      <c r="A5">
        <v>70000</v>
      </c>
      <c r="B5">
        <v>0.95499999999999996</v>
      </c>
      <c r="C5">
        <v>700</v>
      </c>
      <c r="D5">
        <v>200</v>
      </c>
      <c r="E5">
        <v>4</v>
      </c>
      <c r="F5">
        <v>371.61111111111109</v>
      </c>
      <c r="G5">
        <v>371.61111111111109</v>
      </c>
      <c r="H5">
        <v>56.333333333333343</v>
      </c>
      <c r="I5">
        <v>4.4489886000083061</v>
      </c>
      <c r="J5">
        <v>2.6855700009036809E-2</v>
      </c>
      <c r="K5">
        <v>4.4758443000173429</v>
      </c>
      <c r="M5">
        <f t="shared" si="0"/>
        <v>21.902777777777828</v>
      </c>
      <c r="N5">
        <f t="shared" si="1"/>
        <v>349.70833333333326</v>
      </c>
    </row>
    <row r="6" spans="1:14" x14ac:dyDescent="0.25">
      <c r="A6">
        <v>70000</v>
      </c>
      <c r="B6">
        <v>0.95499999999999996</v>
      </c>
      <c r="C6">
        <v>700</v>
      </c>
      <c r="D6">
        <v>200</v>
      </c>
      <c r="E6">
        <v>5</v>
      </c>
      <c r="F6">
        <v>267.25</v>
      </c>
      <c r="G6">
        <v>267.25</v>
      </c>
      <c r="H6">
        <v>42.416666666666657</v>
      </c>
      <c r="I6">
        <v>4.4760458999953698</v>
      </c>
      <c r="J6">
        <v>2.5460699995164759E-2</v>
      </c>
      <c r="K6">
        <v>4.5015065999905346</v>
      </c>
      <c r="M6">
        <f t="shared" si="0"/>
        <v>82.458333333333258</v>
      </c>
      <c r="N6">
        <f t="shared" si="1"/>
        <v>349.70833333333326</v>
      </c>
    </row>
    <row r="7" spans="1:14" x14ac:dyDescent="0.25">
      <c r="A7">
        <v>70000</v>
      </c>
      <c r="B7">
        <v>0.95499999999999996</v>
      </c>
      <c r="C7">
        <v>700</v>
      </c>
      <c r="D7">
        <v>200</v>
      </c>
      <c r="E7">
        <v>6</v>
      </c>
      <c r="F7">
        <v>294.52777777777783</v>
      </c>
      <c r="G7">
        <v>294.52777777777783</v>
      </c>
      <c r="H7">
        <v>43.694444444444443</v>
      </c>
      <c r="I7">
        <v>4.5316634000046179</v>
      </c>
      <c r="J7">
        <v>2.4096699999063279E-2</v>
      </c>
      <c r="K7">
        <v>4.5557601000036811</v>
      </c>
      <c r="M7">
        <f t="shared" si="0"/>
        <v>55.180555555555429</v>
      </c>
      <c r="N7">
        <f t="shared" si="1"/>
        <v>349.70833333333326</v>
      </c>
    </row>
    <row r="8" spans="1:14" x14ac:dyDescent="0.25">
      <c r="A8">
        <v>70000</v>
      </c>
      <c r="B8">
        <v>0.95499999999999996</v>
      </c>
      <c r="C8">
        <v>700</v>
      </c>
      <c r="D8">
        <v>200</v>
      </c>
      <c r="E8">
        <v>7</v>
      </c>
      <c r="F8">
        <v>445.41666666666657</v>
      </c>
      <c r="G8">
        <v>445.41666666666657</v>
      </c>
      <c r="H8">
        <v>59.583333333333329</v>
      </c>
      <c r="I8">
        <v>4.1914077999972514</v>
      </c>
      <c r="J8">
        <v>3.5960499997599982E-2</v>
      </c>
      <c r="K8">
        <v>4.2273682999948514</v>
      </c>
      <c r="M8">
        <f t="shared" si="0"/>
        <v>95.708333333333314</v>
      </c>
      <c r="N8">
        <f t="shared" si="1"/>
        <v>349.70833333333326</v>
      </c>
    </row>
    <row r="9" spans="1:14" x14ac:dyDescent="0.25">
      <c r="A9">
        <v>70000</v>
      </c>
      <c r="B9">
        <v>0.95499999999999996</v>
      </c>
      <c r="C9">
        <v>700</v>
      </c>
      <c r="D9">
        <v>200</v>
      </c>
      <c r="E9">
        <v>8</v>
      </c>
      <c r="F9">
        <v>520.7222222222224</v>
      </c>
      <c r="G9">
        <v>520.7222222222224</v>
      </c>
      <c r="H9">
        <v>70.083333333333343</v>
      </c>
      <c r="I9">
        <v>4.6589655999996467</v>
      </c>
      <c r="J9">
        <v>2.707709999231156E-2</v>
      </c>
      <c r="K9">
        <v>4.6860426999919582</v>
      </c>
      <c r="M9">
        <f t="shared" si="0"/>
        <v>171.01388888888914</v>
      </c>
      <c r="N9">
        <f t="shared" si="1"/>
        <v>349.70833333333326</v>
      </c>
    </row>
    <row r="10" spans="1:14" x14ac:dyDescent="0.25">
      <c r="A10">
        <v>70000</v>
      </c>
      <c r="B10">
        <v>0.95499999999999996</v>
      </c>
      <c r="C10">
        <v>700</v>
      </c>
      <c r="D10">
        <v>200</v>
      </c>
      <c r="E10">
        <v>9</v>
      </c>
      <c r="F10">
        <v>288.05555555555537</v>
      </c>
      <c r="G10">
        <v>288.05555555555537</v>
      </c>
      <c r="H10">
        <v>42.694444444444443</v>
      </c>
      <c r="I10">
        <v>4.5848924000019906</v>
      </c>
      <c r="J10">
        <v>2.5847099997918122E-2</v>
      </c>
      <c r="K10">
        <v>4.6107394999999087</v>
      </c>
      <c r="M10">
        <f t="shared" si="0"/>
        <v>61.652777777777885</v>
      </c>
      <c r="N10">
        <f t="shared" si="1"/>
        <v>349.70833333333326</v>
      </c>
    </row>
    <row r="11" spans="1:14" x14ac:dyDescent="0.25">
      <c r="A11">
        <v>70000</v>
      </c>
      <c r="B11">
        <v>0.95499999999999996</v>
      </c>
      <c r="C11">
        <v>700</v>
      </c>
      <c r="D11">
        <v>200</v>
      </c>
      <c r="E11">
        <v>10</v>
      </c>
      <c r="F11">
        <v>519.27777777777783</v>
      </c>
      <c r="G11">
        <v>519.27777777777783</v>
      </c>
      <c r="H11">
        <v>62.916666666666671</v>
      </c>
      <c r="I11">
        <v>4.442677700004424</v>
      </c>
      <c r="J11">
        <v>2.6426300013554279E-2</v>
      </c>
      <c r="K11">
        <v>4.4691040000179783</v>
      </c>
      <c r="M11">
        <f t="shared" si="0"/>
        <v>169.56944444444457</v>
      </c>
      <c r="N11">
        <f t="shared" si="1"/>
        <v>349.70833333333326</v>
      </c>
    </row>
    <row r="12" spans="1:14" x14ac:dyDescent="0.25">
      <c r="A12">
        <v>70000</v>
      </c>
      <c r="B12">
        <v>0.95499999999999996</v>
      </c>
      <c r="C12">
        <v>700</v>
      </c>
      <c r="D12">
        <v>200</v>
      </c>
      <c r="E12">
        <v>11</v>
      </c>
      <c r="F12">
        <v>329.5833333333332</v>
      </c>
      <c r="G12">
        <v>329.5833333333332</v>
      </c>
      <c r="H12">
        <v>49.416666666666643</v>
      </c>
      <c r="I12">
        <v>4.6914169000083348</v>
      </c>
      <c r="J12">
        <v>2.5309799995739009E-2</v>
      </c>
      <c r="K12">
        <v>4.7167267000040738</v>
      </c>
      <c r="M12">
        <f t="shared" si="0"/>
        <v>20.125000000000057</v>
      </c>
      <c r="N12">
        <f t="shared" si="1"/>
        <v>349.70833333333326</v>
      </c>
    </row>
    <row r="13" spans="1:14" x14ac:dyDescent="0.25">
      <c r="A13">
        <v>70000</v>
      </c>
      <c r="B13">
        <v>0.95499999999999996</v>
      </c>
      <c r="C13">
        <v>700</v>
      </c>
      <c r="D13">
        <v>200</v>
      </c>
      <c r="E13">
        <v>12</v>
      </c>
      <c r="F13">
        <v>420.27777777777771</v>
      </c>
      <c r="G13">
        <v>420.27777777777771</v>
      </c>
      <c r="H13">
        <v>47.583333333333329</v>
      </c>
      <c r="I13">
        <v>4.6121975999994902</v>
      </c>
      <c r="J13">
        <v>2.5985000000218861E-2</v>
      </c>
      <c r="K13">
        <v>4.6381825999997091</v>
      </c>
      <c r="M13">
        <f t="shared" si="0"/>
        <v>70.569444444444457</v>
      </c>
      <c r="N13">
        <f t="shared" si="1"/>
        <v>349.70833333333326</v>
      </c>
    </row>
    <row r="14" spans="1:14" x14ac:dyDescent="0.25">
      <c r="A14">
        <v>70000</v>
      </c>
      <c r="B14">
        <v>0.95499999999999996</v>
      </c>
      <c r="C14">
        <v>700</v>
      </c>
      <c r="D14">
        <v>200</v>
      </c>
      <c r="E14">
        <v>13</v>
      </c>
      <c r="F14">
        <v>224.5</v>
      </c>
      <c r="G14">
        <v>206.33333333333329</v>
      </c>
      <c r="H14">
        <v>29.055555555555561</v>
      </c>
      <c r="I14">
        <v>4.6470414999930654</v>
      </c>
      <c r="J14">
        <v>7.4611599993659183E-2</v>
      </c>
      <c r="K14">
        <v>4.7216530999867254</v>
      </c>
      <c r="M14">
        <f t="shared" si="0"/>
        <v>143.37499999999997</v>
      </c>
      <c r="N14">
        <f t="shared" si="1"/>
        <v>349.70833333333326</v>
      </c>
    </row>
    <row r="15" spans="1:14" x14ac:dyDescent="0.25">
      <c r="A15">
        <v>70000</v>
      </c>
      <c r="B15">
        <v>0.95499999999999996</v>
      </c>
      <c r="C15">
        <v>700</v>
      </c>
      <c r="D15">
        <v>200</v>
      </c>
      <c r="E15">
        <v>14</v>
      </c>
      <c r="F15">
        <v>255.6666666666668</v>
      </c>
      <c r="G15">
        <v>252.1666666666668</v>
      </c>
      <c r="H15">
        <v>40.000000000000007</v>
      </c>
      <c r="I15">
        <v>4.4126542000012714</v>
      </c>
      <c r="J15">
        <v>4.8726399996667169E-2</v>
      </c>
      <c r="K15">
        <v>4.4613805999979377</v>
      </c>
      <c r="M15">
        <f t="shared" si="0"/>
        <v>97.541666666666458</v>
      </c>
      <c r="N15">
        <f t="shared" si="1"/>
        <v>349.70833333333326</v>
      </c>
    </row>
    <row r="16" spans="1:14" x14ac:dyDescent="0.25">
      <c r="A16">
        <v>70000</v>
      </c>
      <c r="B16">
        <v>0.95499999999999996</v>
      </c>
      <c r="C16">
        <v>700</v>
      </c>
      <c r="D16">
        <v>200</v>
      </c>
      <c r="E16">
        <v>15</v>
      </c>
      <c r="F16">
        <v>411.52777777777783</v>
      </c>
      <c r="G16">
        <v>282.80555555555549</v>
      </c>
      <c r="H16">
        <v>34.805555555555557</v>
      </c>
      <c r="I16">
        <v>4.670396499990602</v>
      </c>
      <c r="J16">
        <v>9.1184300006716512E-2</v>
      </c>
      <c r="K16">
        <v>4.7615807999973194</v>
      </c>
      <c r="M16">
        <f t="shared" si="0"/>
        <v>66.902777777777771</v>
      </c>
      <c r="N16">
        <f t="shared" si="1"/>
        <v>349.70833333333326</v>
      </c>
    </row>
    <row r="17" spans="1:14" x14ac:dyDescent="0.25">
      <c r="A17">
        <v>70000</v>
      </c>
      <c r="B17">
        <v>0.95499999999999996</v>
      </c>
      <c r="C17">
        <v>700</v>
      </c>
      <c r="D17">
        <v>200</v>
      </c>
      <c r="E17">
        <v>16</v>
      </c>
      <c r="F17">
        <v>292.8888888888888</v>
      </c>
      <c r="G17">
        <v>292.8888888888888</v>
      </c>
      <c r="H17">
        <v>33.6111111111111</v>
      </c>
      <c r="I17">
        <v>4.7255049999948824</v>
      </c>
      <c r="J17">
        <v>2.6741599998786111E-2</v>
      </c>
      <c r="K17">
        <v>4.7522465999936676</v>
      </c>
      <c r="M17">
        <f t="shared" si="0"/>
        <v>56.819444444444457</v>
      </c>
      <c r="N17">
        <f t="shared" si="1"/>
        <v>349.70833333333326</v>
      </c>
    </row>
    <row r="18" spans="1:14" x14ac:dyDescent="0.25">
      <c r="A18">
        <v>70000</v>
      </c>
      <c r="B18">
        <v>0.95499999999999996</v>
      </c>
      <c r="C18">
        <v>700</v>
      </c>
      <c r="D18">
        <v>200</v>
      </c>
      <c r="E18">
        <v>17</v>
      </c>
      <c r="F18">
        <v>389.77777777777811</v>
      </c>
      <c r="G18">
        <v>389.77777777777811</v>
      </c>
      <c r="H18">
        <v>57.750000000000028</v>
      </c>
      <c r="I18">
        <v>4.5051876999932574</v>
      </c>
      <c r="J18">
        <v>2.740419999463484E-2</v>
      </c>
      <c r="K18">
        <v>4.5325918999878922</v>
      </c>
      <c r="M18">
        <f t="shared" si="0"/>
        <v>40.069444444444855</v>
      </c>
      <c r="N18">
        <f t="shared" si="1"/>
        <v>349.70833333333326</v>
      </c>
    </row>
    <row r="19" spans="1:14" x14ac:dyDescent="0.25">
      <c r="A19">
        <v>70000</v>
      </c>
      <c r="B19">
        <v>0.95499999999999996</v>
      </c>
      <c r="C19">
        <v>700</v>
      </c>
      <c r="D19">
        <v>200</v>
      </c>
      <c r="E19">
        <v>18</v>
      </c>
      <c r="F19">
        <v>253.25</v>
      </c>
      <c r="G19">
        <v>253.25</v>
      </c>
      <c r="H19">
        <v>39.416666666666657</v>
      </c>
      <c r="I19">
        <v>4.521092499999213</v>
      </c>
      <c r="J19">
        <v>2.4690299993380901E-2</v>
      </c>
      <c r="K19">
        <v>4.5457827999925939</v>
      </c>
      <c r="M19">
        <f t="shared" si="0"/>
        <v>96.458333333333258</v>
      </c>
      <c r="N19">
        <f t="shared" si="1"/>
        <v>349.70833333333326</v>
      </c>
    </row>
    <row r="20" spans="1:14" x14ac:dyDescent="0.25">
      <c r="A20">
        <v>70000</v>
      </c>
      <c r="B20">
        <v>0.95499999999999996</v>
      </c>
      <c r="C20">
        <v>700</v>
      </c>
      <c r="D20">
        <v>200</v>
      </c>
      <c r="E20">
        <v>19</v>
      </c>
      <c r="F20">
        <v>298.49999999999989</v>
      </c>
      <c r="G20">
        <v>298.49999999999989</v>
      </c>
      <c r="H20">
        <v>43.41666666666665</v>
      </c>
      <c r="I20">
        <v>4.4804460999876028</v>
      </c>
      <c r="J20">
        <v>2.4080200004391369E-2</v>
      </c>
      <c r="K20">
        <v>4.5045262999919942</v>
      </c>
      <c r="M20">
        <f t="shared" si="0"/>
        <v>51.208333333333371</v>
      </c>
      <c r="N20">
        <f t="shared" si="1"/>
        <v>349.70833333333326</v>
      </c>
    </row>
    <row r="21" spans="1:14" x14ac:dyDescent="0.25">
      <c r="A21">
        <v>70000</v>
      </c>
      <c r="B21">
        <v>0.95499999999999996</v>
      </c>
      <c r="C21">
        <v>700</v>
      </c>
      <c r="D21">
        <v>200</v>
      </c>
      <c r="E21">
        <v>20</v>
      </c>
      <c r="F21">
        <v>379.49999999999989</v>
      </c>
      <c r="G21">
        <v>379.49999999999989</v>
      </c>
      <c r="H21">
        <v>54.305555555555543</v>
      </c>
      <c r="I21">
        <v>4.5414391999947838</v>
      </c>
      <c r="J21">
        <v>2.7172000001883131E-2</v>
      </c>
      <c r="K21">
        <v>4.568611199996667</v>
      </c>
      <c r="M21">
        <f t="shared" si="0"/>
        <v>29.791666666666629</v>
      </c>
      <c r="N21">
        <f t="shared" si="1"/>
        <v>349.70833333333326</v>
      </c>
    </row>
    <row r="22" spans="1:14" x14ac:dyDescent="0.25">
      <c r="A22">
        <v>70000</v>
      </c>
      <c r="B22">
        <v>0.95499999999999996</v>
      </c>
      <c r="C22">
        <v>700</v>
      </c>
      <c r="D22">
        <v>200</v>
      </c>
      <c r="E22">
        <v>21</v>
      </c>
      <c r="F22">
        <v>560.58333333333337</v>
      </c>
      <c r="G22">
        <v>560.58333333333337</v>
      </c>
      <c r="H22">
        <v>75.666666666666671</v>
      </c>
      <c r="I22">
        <v>4.6203573999955552</v>
      </c>
      <c r="J22">
        <v>2.602039999328554E-2</v>
      </c>
      <c r="K22">
        <v>4.6463777999888407</v>
      </c>
      <c r="M22">
        <f t="shared" si="0"/>
        <v>210.87500000000011</v>
      </c>
      <c r="N22">
        <f t="shared" si="1"/>
        <v>349.70833333333326</v>
      </c>
    </row>
    <row r="23" spans="1:14" x14ac:dyDescent="0.25">
      <c r="A23">
        <v>70000</v>
      </c>
      <c r="B23">
        <v>0.95499999999999996</v>
      </c>
      <c r="C23">
        <v>700</v>
      </c>
      <c r="D23">
        <v>200</v>
      </c>
      <c r="E23">
        <v>22</v>
      </c>
      <c r="F23">
        <v>316.55555555555571</v>
      </c>
      <c r="G23">
        <v>316.55555555555571</v>
      </c>
      <c r="H23">
        <v>46.722222222222229</v>
      </c>
      <c r="I23">
        <v>4.4373579999955837</v>
      </c>
      <c r="J23">
        <v>2.4686500008101579E-2</v>
      </c>
      <c r="K23">
        <v>4.4620445000036852</v>
      </c>
      <c r="M23">
        <f t="shared" si="0"/>
        <v>33.152777777777544</v>
      </c>
      <c r="N23">
        <f t="shared" si="1"/>
        <v>349.70833333333326</v>
      </c>
    </row>
    <row r="24" spans="1:14" x14ac:dyDescent="0.25">
      <c r="A24">
        <v>70000</v>
      </c>
      <c r="B24">
        <v>0.95499999999999996</v>
      </c>
      <c r="C24">
        <v>700</v>
      </c>
      <c r="D24">
        <v>200</v>
      </c>
      <c r="E24">
        <v>23</v>
      </c>
      <c r="F24">
        <v>441.6111111111112</v>
      </c>
      <c r="G24">
        <v>419.6111111111112</v>
      </c>
      <c r="H24">
        <v>58.000000000000007</v>
      </c>
      <c r="I24">
        <v>4.5276949000108289</v>
      </c>
      <c r="J24">
        <v>4.9588200010475703E-2</v>
      </c>
      <c r="K24">
        <v>4.5772831000213046</v>
      </c>
      <c r="M24">
        <f t="shared" si="0"/>
        <v>69.902777777777942</v>
      </c>
      <c r="N24">
        <f t="shared" si="1"/>
        <v>349.70833333333326</v>
      </c>
    </row>
    <row r="25" spans="1:14" x14ac:dyDescent="0.25">
      <c r="A25">
        <v>70000</v>
      </c>
      <c r="B25">
        <v>0.95499999999999996</v>
      </c>
      <c r="C25">
        <v>700</v>
      </c>
      <c r="D25">
        <v>200</v>
      </c>
      <c r="E25">
        <v>24</v>
      </c>
      <c r="F25">
        <v>282.33333333333343</v>
      </c>
      <c r="G25">
        <v>282.33333333333343</v>
      </c>
      <c r="H25">
        <v>31.250000000000011</v>
      </c>
      <c r="I25">
        <v>4.5951457000046503</v>
      </c>
      <c r="J25">
        <v>2.4164899994502779E-2</v>
      </c>
      <c r="K25">
        <v>4.6193105999991531</v>
      </c>
      <c r="M25">
        <f t="shared" si="0"/>
        <v>67.374999999999829</v>
      </c>
      <c r="N25">
        <f t="shared" si="1"/>
        <v>349.70833333333326</v>
      </c>
    </row>
    <row r="26" spans="1:14" x14ac:dyDescent="0.25">
      <c r="A26">
        <v>70000</v>
      </c>
      <c r="B26">
        <v>0.95499999999999996</v>
      </c>
      <c r="C26">
        <v>700</v>
      </c>
      <c r="D26">
        <v>200</v>
      </c>
      <c r="E26">
        <v>25</v>
      </c>
      <c r="F26">
        <v>365.99999999999989</v>
      </c>
      <c r="G26">
        <v>353.99999999999989</v>
      </c>
      <c r="H26">
        <v>50.583333333333321</v>
      </c>
      <c r="I26">
        <v>4.553966199993738</v>
      </c>
      <c r="J26">
        <v>4.7483100002864383E-2</v>
      </c>
      <c r="K26">
        <v>4.6014492999966023</v>
      </c>
      <c r="M26">
        <f t="shared" si="0"/>
        <v>4.2916666666666288</v>
      </c>
      <c r="N26">
        <f t="shared" si="1"/>
        <v>349.70833333333326</v>
      </c>
    </row>
    <row r="27" spans="1:14" x14ac:dyDescent="0.25">
      <c r="A27">
        <v>70000</v>
      </c>
      <c r="B27">
        <v>0.95499999999999996</v>
      </c>
      <c r="C27">
        <v>700</v>
      </c>
      <c r="D27">
        <v>200</v>
      </c>
      <c r="E27">
        <v>26</v>
      </c>
      <c r="F27">
        <v>288.38888888888891</v>
      </c>
      <c r="G27">
        <v>288.38888888888891</v>
      </c>
      <c r="H27">
        <v>42.527777777777779</v>
      </c>
      <c r="I27">
        <v>4.4120253000000957</v>
      </c>
      <c r="J27">
        <v>2.447530000063125E-2</v>
      </c>
      <c r="K27">
        <v>4.436500600000727</v>
      </c>
      <c r="M27">
        <f t="shared" si="0"/>
        <v>61.319444444444343</v>
      </c>
      <c r="N27">
        <f t="shared" si="1"/>
        <v>349.70833333333326</v>
      </c>
    </row>
    <row r="28" spans="1:14" x14ac:dyDescent="0.25">
      <c r="A28">
        <v>70000</v>
      </c>
      <c r="B28">
        <v>0.95499999999999996</v>
      </c>
      <c r="C28">
        <v>700</v>
      </c>
      <c r="D28">
        <v>200</v>
      </c>
      <c r="E28">
        <v>27</v>
      </c>
      <c r="F28">
        <v>294.50000000000011</v>
      </c>
      <c r="G28">
        <v>294.50000000000011</v>
      </c>
      <c r="H28">
        <v>42.888888888888893</v>
      </c>
      <c r="I28">
        <v>4.704649999999674</v>
      </c>
      <c r="J28">
        <v>3.6172899999655783E-2</v>
      </c>
      <c r="K28">
        <v>4.7408228999993298</v>
      </c>
      <c r="M28">
        <f t="shared" si="0"/>
        <v>55.208333333333144</v>
      </c>
      <c r="N28">
        <f t="shared" si="1"/>
        <v>349.70833333333326</v>
      </c>
    </row>
    <row r="29" spans="1:14" x14ac:dyDescent="0.25">
      <c r="A29">
        <v>70000</v>
      </c>
      <c r="B29">
        <v>0.95499999999999996</v>
      </c>
      <c r="C29">
        <v>700</v>
      </c>
      <c r="D29">
        <v>200</v>
      </c>
      <c r="E29">
        <v>28</v>
      </c>
      <c r="F29">
        <v>394.88888888888869</v>
      </c>
      <c r="G29">
        <v>394.88888888888869</v>
      </c>
      <c r="H29">
        <v>58.166666666666643</v>
      </c>
      <c r="I29">
        <v>4.7666188999864971</v>
      </c>
      <c r="J29">
        <v>2.6740700006484989E-2</v>
      </c>
      <c r="K29">
        <v>4.7933595999929821</v>
      </c>
      <c r="M29">
        <f t="shared" si="0"/>
        <v>45.180555555555429</v>
      </c>
      <c r="N29">
        <f t="shared" si="1"/>
        <v>349.70833333333326</v>
      </c>
    </row>
    <row r="30" spans="1:14" x14ac:dyDescent="0.25">
      <c r="A30">
        <v>70000</v>
      </c>
      <c r="B30">
        <v>0.95499999999999996</v>
      </c>
      <c r="C30">
        <v>700</v>
      </c>
      <c r="D30">
        <v>200</v>
      </c>
      <c r="E30">
        <v>29</v>
      </c>
      <c r="F30">
        <v>458.91666666666652</v>
      </c>
      <c r="G30">
        <v>458.91666666666652</v>
      </c>
      <c r="H30">
        <v>59.999999999999972</v>
      </c>
      <c r="I30">
        <v>4.5738898000126937</v>
      </c>
      <c r="J30">
        <v>2.6802000007592142E-2</v>
      </c>
      <c r="K30">
        <v>4.6006918000202859</v>
      </c>
      <c r="M30">
        <f t="shared" si="0"/>
        <v>109.20833333333326</v>
      </c>
      <c r="N30">
        <f t="shared" si="1"/>
        <v>349.70833333333326</v>
      </c>
    </row>
    <row r="31" spans="1:14" x14ac:dyDescent="0.25">
      <c r="A31">
        <v>70000</v>
      </c>
      <c r="B31">
        <v>0.95499999999999996</v>
      </c>
      <c r="C31">
        <v>700</v>
      </c>
      <c r="D31">
        <v>200</v>
      </c>
      <c r="E31">
        <v>30</v>
      </c>
      <c r="F31">
        <v>393</v>
      </c>
      <c r="G31">
        <v>393</v>
      </c>
      <c r="H31">
        <v>54.916666666666671</v>
      </c>
      <c r="I31">
        <v>4.5056306000042241</v>
      </c>
      <c r="J31">
        <v>2.8951399988727641E-2</v>
      </c>
      <c r="K31">
        <v>4.5345819999929518</v>
      </c>
      <c r="M31">
        <f t="shared" si="0"/>
        <v>43.291666666666742</v>
      </c>
      <c r="N31">
        <f t="shared" si="1"/>
        <v>349.70833333333326</v>
      </c>
    </row>
    <row r="32" spans="1:14" x14ac:dyDescent="0.25">
      <c r="A32">
        <v>70000</v>
      </c>
      <c r="B32">
        <v>0.95499999999999996</v>
      </c>
      <c r="C32">
        <v>700</v>
      </c>
      <c r="D32">
        <v>200</v>
      </c>
      <c r="E32">
        <v>31</v>
      </c>
      <c r="F32">
        <v>426.44444444444451</v>
      </c>
      <c r="G32">
        <v>426.44444444444451</v>
      </c>
      <c r="H32">
        <v>58.638888888888893</v>
      </c>
      <c r="I32">
        <v>4.5530281999963336</v>
      </c>
      <c r="J32">
        <v>2.2279299999354411E-2</v>
      </c>
      <c r="K32">
        <v>4.575307499995688</v>
      </c>
      <c r="M32">
        <f t="shared" si="0"/>
        <v>76.736111111111256</v>
      </c>
      <c r="N32">
        <f t="shared" si="1"/>
        <v>349.70833333333326</v>
      </c>
    </row>
    <row r="33" spans="1:14" x14ac:dyDescent="0.25">
      <c r="A33">
        <v>70000</v>
      </c>
      <c r="B33">
        <v>0.95499999999999996</v>
      </c>
      <c r="C33">
        <v>700</v>
      </c>
      <c r="D33">
        <v>200</v>
      </c>
      <c r="E33">
        <v>32</v>
      </c>
      <c r="F33">
        <v>144</v>
      </c>
      <c r="G33">
        <v>144</v>
      </c>
      <c r="H33">
        <v>23</v>
      </c>
      <c r="I33">
        <v>4.3014274000015584</v>
      </c>
      <c r="J33">
        <v>2.216429999680258E-2</v>
      </c>
      <c r="K33">
        <v>4.3235916999983601</v>
      </c>
      <c r="M33">
        <f t="shared" si="0"/>
        <v>205.70833333333326</v>
      </c>
      <c r="N33">
        <f t="shared" si="1"/>
        <v>349.70833333333326</v>
      </c>
    </row>
    <row r="34" spans="1:14" x14ac:dyDescent="0.25">
      <c r="A34">
        <v>70000</v>
      </c>
      <c r="B34">
        <v>0.95499999999999996</v>
      </c>
      <c r="C34">
        <v>700</v>
      </c>
      <c r="D34">
        <v>200</v>
      </c>
      <c r="E34">
        <v>33</v>
      </c>
      <c r="F34">
        <v>359.97222222222229</v>
      </c>
      <c r="G34">
        <v>359.97222222222229</v>
      </c>
      <c r="H34">
        <v>51.111111111111128</v>
      </c>
      <c r="I34">
        <v>4.3094290000008186</v>
      </c>
      <c r="J34">
        <v>2.2420799999963489E-2</v>
      </c>
      <c r="K34">
        <v>4.3318498000007821</v>
      </c>
      <c r="M34">
        <f t="shared" si="0"/>
        <v>10.263888888889028</v>
      </c>
      <c r="N34">
        <f t="shared" si="1"/>
        <v>349.70833333333326</v>
      </c>
    </row>
    <row r="35" spans="1:14" x14ac:dyDescent="0.25">
      <c r="A35">
        <v>70000</v>
      </c>
      <c r="B35">
        <v>0.95499999999999996</v>
      </c>
      <c r="C35">
        <v>700</v>
      </c>
      <c r="D35">
        <v>200</v>
      </c>
      <c r="E35">
        <v>34</v>
      </c>
      <c r="F35">
        <v>471.50000000000011</v>
      </c>
      <c r="G35">
        <v>471.50000000000011</v>
      </c>
      <c r="H35">
        <v>50.277777777777793</v>
      </c>
      <c r="I35">
        <v>4.3737662000057753</v>
      </c>
      <c r="J35">
        <v>2.2894800000358369E-2</v>
      </c>
      <c r="K35">
        <v>4.3966610000061337</v>
      </c>
      <c r="M35">
        <f t="shared" si="0"/>
        <v>121.79166666666686</v>
      </c>
      <c r="N35">
        <f t="shared" si="1"/>
        <v>349.70833333333326</v>
      </c>
    </row>
    <row r="36" spans="1:14" x14ac:dyDescent="0.25">
      <c r="A36">
        <v>70000</v>
      </c>
      <c r="B36">
        <v>0.95499999999999996</v>
      </c>
      <c r="C36">
        <v>700</v>
      </c>
      <c r="D36">
        <v>200</v>
      </c>
      <c r="E36">
        <v>35</v>
      </c>
      <c r="F36">
        <v>504.24999999999977</v>
      </c>
      <c r="G36">
        <v>504.24999999999977</v>
      </c>
      <c r="H36">
        <v>73.416666666666657</v>
      </c>
      <c r="I36">
        <v>4.260836700006621</v>
      </c>
      <c r="J36">
        <v>2.1456399990711361E-2</v>
      </c>
      <c r="K36">
        <v>4.2822930999973323</v>
      </c>
      <c r="M36">
        <f t="shared" si="0"/>
        <v>154.54166666666652</v>
      </c>
      <c r="N36">
        <f t="shared" si="1"/>
        <v>349.70833333333326</v>
      </c>
    </row>
    <row r="37" spans="1:14" x14ac:dyDescent="0.25">
      <c r="A37">
        <v>70000</v>
      </c>
      <c r="B37">
        <v>0.95499999999999996</v>
      </c>
      <c r="C37">
        <v>700</v>
      </c>
      <c r="D37">
        <v>200</v>
      </c>
      <c r="E37">
        <v>36</v>
      </c>
      <c r="F37">
        <v>305.94444444444417</v>
      </c>
      <c r="G37">
        <v>305.94444444444417</v>
      </c>
      <c r="H37">
        <v>31.833333333333311</v>
      </c>
      <c r="I37">
        <v>4.3506750999949872</v>
      </c>
      <c r="J37">
        <v>2.2731899996870201E-2</v>
      </c>
      <c r="K37">
        <v>4.3734069999918566</v>
      </c>
      <c r="M37">
        <f t="shared" si="0"/>
        <v>43.763888888889085</v>
      </c>
      <c r="N37">
        <f t="shared" si="1"/>
        <v>349.70833333333326</v>
      </c>
    </row>
    <row r="38" spans="1:14" x14ac:dyDescent="0.25">
      <c r="A38">
        <v>70000</v>
      </c>
      <c r="B38">
        <v>0.95499999999999996</v>
      </c>
      <c r="C38">
        <v>700</v>
      </c>
      <c r="D38">
        <v>200</v>
      </c>
      <c r="E38">
        <v>37</v>
      </c>
      <c r="F38">
        <v>293.00000000000011</v>
      </c>
      <c r="G38">
        <v>273.83333333333331</v>
      </c>
      <c r="H38">
        <v>41.249999999999993</v>
      </c>
      <c r="I38">
        <v>4.3794996000069659</v>
      </c>
      <c r="J38">
        <v>6.3699599995743483E-2</v>
      </c>
      <c r="K38">
        <v>4.4431992000027094</v>
      </c>
      <c r="M38">
        <f t="shared" si="0"/>
        <v>75.874999999999943</v>
      </c>
      <c r="N38">
        <f t="shared" si="1"/>
        <v>349.70833333333326</v>
      </c>
    </row>
    <row r="39" spans="1:14" x14ac:dyDescent="0.25">
      <c r="A39">
        <v>70000</v>
      </c>
      <c r="B39">
        <v>0.95499999999999996</v>
      </c>
      <c r="C39">
        <v>700</v>
      </c>
      <c r="D39">
        <v>200</v>
      </c>
      <c r="E39">
        <v>38</v>
      </c>
      <c r="F39">
        <v>501.94444444444468</v>
      </c>
      <c r="G39">
        <v>501.94444444444468</v>
      </c>
      <c r="H39">
        <v>53.194444444444457</v>
      </c>
      <c r="I39">
        <v>4.3372454999916954</v>
      </c>
      <c r="J39">
        <v>2.1949699992546812E-2</v>
      </c>
      <c r="K39">
        <v>4.3591951999842422</v>
      </c>
      <c r="M39">
        <f t="shared" si="0"/>
        <v>152.23611111111143</v>
      </c>
      <c r="N39">
        <f t="shared" si="1"/>
        <v>349.70833333333326</v>
      </c>
    </row>
    <row r="40" spans="1:14" x14ac:dyDescent="0.25">
      <c r="A40">
        <v>70000</v>
      </c>
      <c r="B40">
        <v>0.95499999999999996</v>
      </c>
      <c r="C40">
        <v>700</v>
      </c>
      <c r="D40">
        <v>200</v>
      </c>
      <c r="E40">
        <v>39</v>
      </c>
      <c r="F40">
        <v>267.94444444444429</v>
      </c>
      <c r="G40">
        <v>267.94444444444429</v>
      </c>
      <c r="H40">
        <v>40.027777777777757</v>
      </c>
      <c r="I40">
        <v>4.2827115000109188</v>
      </c>
      <c r="J40">
        <v>2.2018800009391271E-2</v>
      </c>
      <c r="K40">
        <v>4.3047303000203101</v>
      </c>
      <c r="M40">
        <f t="shared" si="0"/>
        <v>81.763888888888971</v>
      </c>
      <c r="N40">
        <f t="shared" si="1"/>
        <v>349.70833333333326</v>
      </c>
    </row>
    <row r="41" spans="1:14" x14ac:dyDescent="0.25">
      <c r="A41">
        <v>70000</v>
      </c>
      <c r="B41">
        <v>0.95499999999999996</v>
      </c>
      <c r="C41">
        <v>700</v>
      </c>
      <c r="D41">
        <v>200</v>
      </c>
      <c r="E41">
        <v>40</v>
      </c>
      <c r="F41">
        <v>398.58333333333331</v>
      </c>
      <c r="G41">
        <v>398.58333333333331</v>
      </c>
      <c r="H41">
        <v>59.80555555555555</v>
      </c>
      <c r="I41">
        <v>4.2708839000115404</v>
      </c>
      <c r="J41">
        <v>2.228560000366997E-2</v>
      </c>
      <c r="K41">
        <v>4.2931695000152104</v>
      </c>
      <c r="M41">
        <f t="shared" si="0"/>
        <v>48.875000000000057</v>
      </c>
      <c r="N41">
        <f t="shared" si="1"/>
        <v>349.70833333333326</v>
      </c>
    </row>
    <row r="42" spans="1:14" x14ac:dyDescent="0.25">
      <c r="A42">
        <v>70000</v>
      </c>
      <c r="B42">
        <v>0.95499999999999996</v>
      </c>
      <c r="C42">
        <v>700</v>
      </c>
      <c r="D42">
        <v>200</v>
      </c>
      <c r="E42">
        <v>41</v>
      </c>
      <c r="F42">
        <v>337.00000000000011</v>
      </c>
      <c r="G42">
        <v>337.00000000000011</v>
      </c>
      <c r="H42">
        <v>49.527777777777779</v>
      </c>
      <c r="I42">
        <v>4.3617032000038307</v>
      </c>
      <c r="J42">
        <v>2.177009999286383E-2</v>
      </c>
      <c r="K42">
        <v>4.3834732999966954</v>
      </c>
      <c r="M42">
        <f t="shared" si="0"/>
        <v>12.708333333333144</v>
      </c>
      <c r="N42">
        <f t="shared" si="1"/>
        <v>349.70833333333326</v>
      </c>
    </row>
    <row r="43" spans="1:14" x14ac:dyDescent="0.25">
      <c r="A43">
        <v>70000</v>
      </c>
      <c r="B43">
        <v>0.95499999999999996</v>
      </c>
      <c r="C43">
        <v>700</v>
      </c>
      <c r="D43">
        <v>200</v>
      </c>
      <c r="E43">
        <v>42</v>
      </c>
      <c r="F43">
        <v>267.25</v>
      </c>
      <c r="G43">
        <v>267.25</v>
      </c>
      <c r="H43">
        <v>42.416666666666657</v>
      </c>
      <c r="I43">
        <v>4.268582000004244</v>
      </c>
      <c r="J43">
        <v>2.195569999457803E-2</v>
      </c>
      <c r="K43">
        <v>4.2905376999988221</v>
      </c>
      <c r="M43">
        <f t="shared" si="0"/>
        <v>82.458333333333258</v>
      </c>
      <c r="N43">
        <f t="shared" si="1"/>
        <v>349.70833333333326</v>
      </c>
    </row>
    <row r="44" spans="1:14" x14ac:dyDescent="0.25">
      <c r="A44">
        <v>70000</v>
      </c>
      <c r="B44">
        <v>0.95499999999999996</v>
      </c>
      <c r="C44">
        <v>700</v>
      </c>
      <c r="D44">
        <v>200</v>
      </c>
      <c r="E44">
        <v>43</v>
      </c>
      <c r="F44">
        <v>460.13888888888903</v>
      </c>
      <c r="G44">
        <v>460.13888888888903</v>
      </c>
      <c r="H44">
        <v>64.305555555555571</v>
      </c>
      <c r="I44">
        <v>4.3977660000091419</v>
      </c>
      <c r="J44">
        <v>2.214979998825584E-2</v>
      </c>
      <c r="K44">
        <v>4.4199157999973977</v>
      </c>
      <c r="M44">
        <f t="shared" si="0"/>
        <v>110.43055555555577</v>
      </c>
      <c r="N44">
        <f t="shared" si="1"/>
        <v>349.70833333333326</v>
      </c>
    </row>
    <row r="45" spans="1:14" x14ac:dyDescent="0.25">
      <c r="A45">
        <v>70000</v>
      </c>
      <c r="B45">
        <v>0.95499999999999996</v>
      </c>
      <c r="C45">
        <v>700</v>
      </c>
      <c r="D45">
        <v>200</v>
      </c>
      <c r="E45">
        <v>44</v>
      </c>
      <c r="F45">
        <v>388.02777777777749</v>
      </c>
      <c r="G45">
        <v>388.02777777777749</v>
      </c>
      <c r="H45">
        <v>52.333333333333293</v>
      </c>
      <c r="I45">
        <v>4.2477335000003222</v>
      </c>
      <c r="J45">
        <v>2.1669299996574409E-2</v>
      </c>
      <c r="K45">
        <v>4.2694027999968966</v>
      </c>
      <c r="M45">
        <f t="shared" si="0"/>
        <v>38.31944444444423</v>
      </c>
      <c r="N45">
        <f t="shared" si="1"/>
        <v>349.70833333333326</v>
      </c>
    </row>
    <row r="46" spans="1:14" x14ac:dyDescent="0.25">
      <c r="A46">
        <v>70000</v>
      </c>
      <c r="B46">
        <v>0.95499999999999996</v>
      </c>
      <c r="C46">
        <v>700</v>
      </c>
      <c r="D46">
        <v>200</v>
      </c>
      <c r="E46">
        <v>45</v>
      </c>
      <c r="F46">
        <v>389.72222222222229</v>
      </c>
      <c r="G46">
        <v>389.72222222222229</v>
      </c>
      <c r="H46">
        <v>55.222222222222229</v>
      </c>
      <c r="I46">
        <v>4.3080220999981984</v>
      </c>
      <c r="J46">
        <v>2.3524799995357171E-2</v>
      </c>
      <c r="K46">
        <v>4.3315468999935547</v>
      </c>
      <c r="M46">
        <f t="shared" si="0"/>
        <v>40.013888888889028</v>
      </c>
      <c r="N46">
        <f t="shared" si="1"/>
        <v>349.70833333333326</v>
      </c>
    </row>
    <row r="47" spans="1:14" x14ac:dyDescent="0.25">
      <c r="A47">
        <v>70000</v>
      </c>
      <c r="B47">
        <v>0.95499999999999996</v>
      </c>
      <c r="C47">
        <v>700</v>
      </c>
      <c r="D47">
        <v>200</v>
      </c>
      <c r="E47">
        <v>46</v>
      </c>
      <c r="F47">
        <v>169.6666666666666</v>
      </c>
      <c r="G47">
        <v>169.6666666666666</v>
      </c>
      <c r="H47">
        <v>27.833333333333329</v>
      </c>
      <c r="I47">
        <v>4.2652508999890406</v>
      </c>
      <c r="J47">
        <v>2.2050300001865249E-2</v>
      </c>
      <c r="K47">
        <v>4.2873011999909068</v>
      </c>
      <c r="M47">
        <f t="shared" si="0"/>
        <v>180.04166666666666</v>
      </c>
      <c r="N47">
        <f t="shared" si="1"/>
        <v>349.70833333333326</v>
      </c>
    </row>
    <row r="48" spans="1:14" x14ac:dyDescent="0.25">
      <c r="A48">
        <v>70000</v>
      </c>
      <c r="B48">
        <v>0.95499999999999996</v>
      </c>
      <c r="C48">
        <v>700</v>
      </c>
      <c r="D48">
        <v>200</v>
      </c>
      <c r="E48">
        <v>47</v>
      </c>
      <c r="F48">
        <v>360.86111111111092</v>
      </c>
      <c r="G48">
        <v>360.86111111111092</v>
      </c>
      <c r="H48">
        <v>50.861111111111093</v>
      </c>
      <c r="I48">
        <v>4.2507688999903621</v>
      </c>
      <c r="J48">
        <v>2.2731600009137761E-2</v>
      </c>
      <c r="K48">
        <v>4.2735004999994999</v>
      </c>
      <c r="M48">
        <f t="shared" si="0"/>
        <v>11.152777777777658</v>
      </c>
      <c r="N48">
        <f t="shared" si="1"/>
        <v>349.70833333333326</v>
      </c>
    </row>
    <row r="49" spans="1:14" x14ac:dyDescent="0.25">
      <c r="A49">
        <v>70000</v>
      </c>
      <c r="B49">
        <v>0.95499999999999996</v>
      </c>
      <c r="C49">
        <v>700</v>
      </c>
      <c r="D49">
        <v>200</v>
      </c>
      <c r="E49">
        <v>48</v>
      </c>
      <c r="F49">
        <v>213.6111111111112</v>
      </c>
      <c r="G49">
        <v>213.6111111111112</v>
      </c>
      <c r="H49">
        <v>30.000000000000011</v>
      </c>
      <c r="I49">
        <v>4.3390712999971583</v>
      </c>
      <c r="J49">
        <v>2.2555200004717339E-2</v>
      </c>
      <c r="K49">
        <v>4.3616265000018757</v>
      </c>
      <c r="M49">
        <f t="shared" si="0"/>
        <v>136.09722222222206</v>
      </c>
      <c r="N49">
        <f t="shared" si="1"/>
        <v>349.70833333333326</v>
      </c>
    </row>
    <row r="50" spans="1:14" x14ac:dyDescent="0.25">
      <c r="A50">
        <v>70000</v>
      </c>
      <c r="B50">
        <v>0.95499999999999996</v>
      </c>
      <c r="C50">
        <v>700</v>
      </c>
      <c r="D50">
        <v>200</v>
      </c>
      <c r="E50">
        <v>49</v>
      </c>
      <c r="F50">
        <v>249.44444444444451</v>
      </c>
      <c r="G50">
        <v>249.44444444444451</v>
      </c>
      <c r="H50">
        <v>37.083333333333343</v>
      </c>
      <c r="I50">
        <v>4.1560023999918494</v>
      </c>
      <c r="J50">
        <v>2.2876899995026179E-2</v>
      </c>
      <c r="K50">
        <v>4.1788792999868747</v>
      </c>
      <c r="M50">
        <f t="shared" si="0"/>
        <v>100.26388888888874</v>
      </c>
      <c r="N50">
        <f t="shared" si="1"/>
        <v>349.70833333333326</v>
      </c>
    </row>
    <row r="51" spans="1:14" x14ac:dyDescent="0.25">
      <c r="A51">
        <v>70000</v>
      </c>
      <c r="B51">
        <v>0.95499999999999996</v>
      </c>
      <c r="C51">
        <v>700</v>
      </c>
      <c r="D51">
        <v>200</v>
      </c>
      <c r="E51">
        <v>88</v>
      </c>
      <c r="F51">
        <v>433.83333333333343</v>
      </c>
      <c r="G51">
        <v>433.83333333333343</v>
      </c>
      <c r="H51">
        <v>51.361111111111121</v>
      </c>
      <c r="I51">
        <v>5.1256603999936488</v>
      </c>
      <c r="J51">
        <v>2.8741499991156161E-2</v>
      </c>
      <c r="K51">
        <v>5.1544018999848049</v>
      </c>
      <c r="M51">
        <f t="shared" si="0"/>
        <v>84.125000000000171</v>
      </c>
      <c r="N51">
        <f t="shared" si="1"/>
        <v>349.70833333333326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 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2026-10-22T13:38:51Z</dcterms:created>
  <dcterms:modified xsi:type="dcterms:W3CDTF">2026-10-22T14:43:00Z</dcterms:modified>
</cp:coreProperties>
</file>